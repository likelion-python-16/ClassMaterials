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\Desktop\부동산플랫폼\"/>
    </mc:Choice>
  </mc:AlternateContent>
  <bookViews>
    <workbookView xWindow="-38505" yWindow="-9645" windowWidth="38625" windowHeight="21225" activeTab="1"/>
  </bookViews>
  <sheets>
    <sheet name="사업관리 일정계획" sheetId="3" r:id="rId1"/>
    <sheet name="기능 개발 WB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5" i="2"/>
  <c r="BK25" i="2" l="1"/>
  <c r="BL25" i="2"/>
  <c r="BL28" i="2"/>
  <c r="W14" i="2"/>
  <c r="X14" i="2" s="1"/>
  <c r="Y14" i="2"/>
  <c r="Z14" i="2"/>
  <c r="AC14" i="2"/>
  <c r="AD14" i="2"/>
  <c r="AE14" i="2"/>
  <c r="AM14" i="2" s="1"/>
  <c r="AF14" i="2"/>
  <c r="AG14" i="2"/>
  <c r="AH14" i="2"/>
  <c r="AK14" i="2"/>
  <c r="AL14" i="2"/>
  <c r="AO14" i="2" s="1"/>
  <c r="AS14" i="2"/>
  <c r="BA14" i="2"/>
  <c r="BI14" i="2"/>
  <c r="BQ14" i="2"/>
  <c r="BY14" i="2"/>
  <c r="CG14" i="2"/>
  <c r="CO14" i="2"/>
  <c r="CW14" i="2"/>
  <c r="DM14" i="2"/>
  <c r="W15" i="2"/>
  <c r="X15" i="2"/>
  <c r="Y15" i="2"/>
  <c r="Z15" i="2"/>
  <c r="AC15" i="2"/>
  <c r="AD15" i="2"/>
  <c r="AL15" i="2" s="1"/>
  <c r="AE15" i="2"/>
  <c r="AH15" i="2" s="1"/>
  <c r="AG15" i="2"/>
  <c r="AK15" i="2"/>
  <c r="AS15" i="2"/>
  <c r="BA15" i="2"/>
  <c r="BI15" i="2"/>
  <c r="BQ15" i="2"/>
  <c r="BY15" i="2"/>
  <c r="CG15" i="2"/>
  <c r="CO15" i="2"/>
  <c r="CW15" i="2"/>
  <c r="DM15" i="2"/>
  <c r="W16" i="2"/>
  <c r="AE16" i="2" s="1"/>
  <c r="X16" i="2"/>
  <c r="Y16" i="2"/>
  <c r="Z16" i="2"/>
  <c r="AC16" i="2"/>
  <c r="AD16" i="2"/>
  <c r="AG16" i="2" s="1"/>
  <c r="AK16" i="2"/>
  <c r="AS16" i="2"/>
  <c r="BA16" i="2"/>
  <c r="BI16" i="2"/>
  <c r="BQ16" i="2"/>
  <c r="BY16" i="2"/>
  <c r="CG16" i="2"/>
  <c r="CO16" i="2"/>
  <c r="CW16" i="2"/>
  <c r="DM16" i="2"/>
  <c r="W17" i="2"/>
  <c r="Z17" i="2" s="1"/>
  <c r="Y17" i="2"/>
  <c r="AC17" i="2"/>
  <c r="AD17" i="2"/>
  <c r="AG17" i="2"/>
  <c r="AK17" i="2"/>
  <c r="AL17" i="2"/>
  <c r="AT17" i="2" s="1"/>
  <c r="AO17" i="2"/>
  <c r="AS17" i="2"/>
  <c r="BA17" i="2"/>
  <c r="BI17" i="2"/>
  <c r="BQ17" i="2"/>
  <c r="BY17" i="2"/>
  <c r="CG17" i="2"/>
  <c r="CO17" i="2"/>
  <c r="CW17" i="2"/>
  <c r="DM17" i="2"/>
  <c r="W18" i="2"/>
  <c r="X18" i="2"/>
  <c r="Y18" i="2"/>
  <c r="Z18" i="2"/>
  <c r="AC18" i="2"/>
  <c r="AD18" i="2"/>
  <c r="AE18" i="2"/>
  <c r="AM18" i="2" s="1"/>
  <c r="AF18" i="2"/>
  <c r="AG18" i="2"/>
  <c r="AH18" i="2"/>
  <c r="AK18" i="2"/>
  <c r="AL18" i="2"/>
  <c r="AO18" i="2" s="1"/>
  <c r="AS18" i="2"/>
  <c r="BA18" i="2"/>
  <c r="BI18" i="2"/>
  <c r="BQ18" i="2"/>
  <c r="BY18" i="2"/>
  <c r="CG18" i="2"/>
  <c r="CO18" i="2"/>
  <c r="CW18" i="2"/>
  <c r="DM18" i="2"/>
  <c r="W19" i="2"/>
  <c r="X19" i="2"/>
  <c r="Y19" i="2"/>
  <c r="Z19" i="2"/>
  <c r="AC19" i="2"/>
  <c r="AD19" i="2"/>
  <c r="AL19" i="2" s="1"/>
  <c r="AE19" i="2"/>
  <c r="AH19" i="2" s="1"/>
  <c r="AG19" i="2"/>
  <c r="AK19" i="2"/>
  <c r="AS19" i="2"/>
  <c r="BA19" i="2"/>
  <c r="BI19" i="2"/>
  <c r="BQ19" i="2"/>
  <c r="BY19" i="2"/>
  <c r="CG19" i="2"/>
  <c r="CO19" i="2"/>
  <c r="CW19" i="2"/>
  <c r="DM19" i="2"/>
  <c r="W20" i="2"/>
  <c r="AE20" i="2" s="1"/>
  <c r="X20" i="2"/>
  <c r="Y20" i="2"/>
  <c r="Z20" i="2"/>
  <c r="AC20" i="2"/>
  <c r="AD20" i="2"/>
  <c r="AG20" i="2" s="1"/>
  <c r="AK20" i="2"/>
  <c r="AS20" i="2"/>
  <c r="BA20" i="2"/>
  <c r="BI20" i="2"/>
  <c r="BQ20" i="2"/>
  <c r="BY20" i="2"/>
  <c r="CG20" i="2"/>
  <c r="CO20" i="2"/>
  <c r="CW20" i="2"/>
  <c r="DM20" i="2"/>
  <c r="W21" i="2"/>
  <c r="Z21" i="2" s="1"/>
  <c r="X21" i="2"/>
  <c r="Y21" i="2"/>
  <c r="AC21" i="2"/>
  <c r="AD21" i="2"/>
  <c r="AG21" i="2"/>
  <c r="AK21" i="2"/>
  <c r="AL21" i="2"/>
  <c r="AT21" i="2" s="1"/>
  <c r="AO21" i="2"/>
  <c r="AS21" i="2"/>
  <c r="BA21" i="2"/>
  <c r="BI21" i="2"/>
  <c r="BQ21" i="2"/>
  <c r="BY21" i="2"/>
  <c r="CG21" i="2"/>
  <c r="CO21" i="2"/>
  <c r="CW21" i="2"/>
  <c r="DM21" i="2"/>
  <c r="W22" i="2"/>
  <c r="X22" i="2"/>
  <c r="Y22" i="2"/>
  <c r="Z22" i="2"/>
  <c r="AC22" i="2"/>
  <c r="AD22" i="2"/>
  <c r="AE22" i="2"/>
  <c r="AM22" i="2" s="1"/>
  <c r="AF22" i="2"/>
  <c r="AG22" i="2"/>
  <c r="AH22" i="2"/>
  <c r="AK22" i="2"/>
  <c r="AL22" i="2"/>
  <c r="AO22" i="2" s="1"/>
  <c r="AS22" i="2"/>
  <c r="BA22" i="2"/>
  <c r="BI22" i="2"/>
  <c r="BQ22" i="2"/>
  <c r="BY22" i="2"/>
  <c r="CG22" i="2"/>
  <c r="CO22" i="2"/>
  <c r="CW22" i="2"/>
  <c r="DM22" i="2"/>
  <c r="V14" i="2"/>
  <c r="V15" i="2"/>
  <c r="V16" i="2"/>
  <c r="V17" i="2"/>
  <c r="V18" i="2"/>
  <c r="V19" i="2"/>
  <c r="V20" i="2"/>
  <c r="V21" i="2"/>
  <c r="V22" i="2"/>
  <c r="U14" i="2"/>
  <c r="U15" i="2"/>
  <c r="U16" i="2"/>
  <c r="U17" i="2"/>
  <c r="U18" i="2"/>
  <c r="U19" i="2"/>
  <c r="U20" i="2"/>
  <c r="U21" i="2"/>
  <c r="U22" i="2"/>
  <c r="R14" i="2"/>
  <c r="R15" i="2"/>
  <c r="R16" i="2"/>
  <c r="R17" i="2"/>
  <c r="R18" i="2"/>
  <c r="R19" i="2"/>
  <c r="R20" i="2"/>
  <c r="R21" i="2"/>
  <c r="R22" i="2"/>
  <c r="Q14" i="2"/>
  <c r="Q15" i="2"/>
  <c r="Q16" i="2"/>
  <c r="Q17" i="2"/>
  <c r="Q18" i="2"/>
  <c r="Q19" i="2"/>
  <c r="Q20" i="2"/>
  <c r="Q21" i="2"/>
  <c r="Q22" i="2"/>
  <c r="P14" i="2"/>
  <c r="P15" i="2"/>
  <c r="P16" i="2"/>
  <c r="P17" i="2"/>
  <c r="P18" i="2"/>
  <c r="P19" i="2"/>
  <c r="P20" i="2"/>
  <c r="P21" i="2"/>
  <c r="P22" i="2"/>
  <c r="O14" i="2"/>
  <c r="O15" i="2"/>
  <c r="O16" i="2"/>
  <c r="O17" i="2"/>
  <c r="O18" i="2"/>
  <c r="O19" i="2"/>
  <c r="O20" i="2"/>
  <c r="O21" i="2"/>
  <c r="O22" i="2"/>
  <c r="N14" i="2"/>
  <c r="N15" i="2"/>
  <c r="N16" i="2"/>
  <c r="N17" i="2"/>
  <c r="N18" i="2"/>
  <c r="N19" i="2"/>
  <c r="N20" i="2"/>
  <c r="N21" i="2"/>
  <c r="N22" i="2"/>
  <c r="M14" i="2"/>
  <c r="M15" i="2"/>
  <c r="M16" i="2"/>
  <c r="M17" i="2"/>
  <c r="M18" i="2"/>
  <c r="M19" i="2"/>
  <c r="M20" i="2"/>
  <c r="M21" i="2"/>
  <c r="M22" i="2"/>
  <c r="J14" i="2"/>
  <c r="J15" i="2"/>
  <c r="J16" i="2"/>
  <c r="J17" i="2"/>
  <c r="J18" i="2"/>
  <c r="J19" i="2"/>
  <c r="J20" i="2"/>
  <c r="J21" i="2"/>
  <c r="J22" i="2"/>
  <c r="AN14" i="2" l="1"/>
  <c r="AP14" i="2"/>
  <c r="AU14" i="2"/>
  <c r="AN22" i="2"/>
  <c r="AP22" i="2"/>
  <c r="AU22" i="2"/>
  <c r="AN18" i="2"/>
  <c r="AP18" i="2"/>
  <c r="AU18" i="2"/>
  <c r="AF20" i="2"/>
  <c r="AH20" i="2"/>
  <c r="AM20" i="2"/>
  <c r="AF16" i="2"/>
  <c r="AH16" i="2"/>
  <c r="AM16" i="2"/>
  <c r="AO19" i="2"/>
  <c r="AT19" i="2"/>
  <c r="AO15" i="2"/>
  <c r="AT15" i="2"/>
  <c r="AW21" i="2"/>
  <c r="BB21" i="2"/>
  <c r="AW17" i="2"/>
  <c r="BB17" i="2"/>
  <c r="AF19" i="2"/>
  <c r="X17" i="2"/>
  <c r="AF15" i="2"/>
  <c r="AT22" i="2"/>
  <c r="AL20" i="2"/>
  <c r="AT18" i="2"/>
  <c r="AL16" i="2"/>
  <c r="AT14" i="2"/>
  <c r="AE21" i="2"/>
  <c r="AM19" i="2"/>
  <c r="AE17" i="2"/>
  <c r="AM15" i="2"/>
  <c r="DM13" i="2"/>
  <c r="CW13" i="2"/>
  <c r="CO13" i="2"/>
  <c r="CG13" i="2"/>
  <c r="BY13" i="2"/>
  <c r="BQ13" i="2"/>
  <c r="BI13" i="2"/>
  <c r="BA13" i="2"/>
  <c r="AS13" i="2"/>
  <c r="AK13" i="2"/>
  <c r="AC13" i="2"/>
  <c r="U13" i="2"/>
  <c r="O13" i="2"/>
  <c r="N13" i="2"/>
  <c r="M13" i="2"/>
  <c r="DM12" i="2"/>
  <c r="CW12" i="2"/>
  <c r="CO12" i="2"/>
  <c r="CG12" i="2"/>
  <c r="BY12" i="2"/>
  <c r="BQ12" i="2"/>
  <c r="BI12" i="2"/>
  <c r="BA12" i="2"/>
  <c r="AS12" i="2"/>
  <c r="AK12" i="2"/>
  <c r="AC12" i="2"/>
  <c r="U12" i="2"/>
  <c r="O12" i="2"/>
  <c r="W12" i="2" s="1"/>
  <c r="N12" i="2"/>
  <c r="V12" i="2" s="1"/>
  <c r="M12" i="2"/>
  <c r="DM11" i="2"/>
  <c r="CW11" i="2"/>
  <c r="CO11" i="2"/>
  <c r="CG11" i="2"/>
  <c r="BY11" i="2"/>
  <c r="BQ11" i="2"/>
  <c r="BI11" i="2"/>
  <c r="BA11" i="2"/>
  <c r="AS11" i="2"/>
  <c r="AK11" i="2"/>
  <c r="AC11" i="2"/>
  <c r="U11" i="2"/>
  <c r="O11" i="2"/>
  <c r="W11" i="2" s="1"/>
  <c r="N11" i="2"/>
  <c r="V11" i="2" s="1"/>
  <c r="M11" i="2"/>
  <c r="DM31" i="2"/>
  <c r="CW31" i="2"/>
  <c r="CO31" i="2"/>
  <c r="CG31" i="2"/>
  <c r="BY31" i="2"/>
  <c r="BQ31" i="2"/>
  <c r="BI31" i="2"/>
  <c r="BA31" i="2"/>
  <c r="AS31" i="2"/>
  <c r="AK31" i="2"/>
  <c r="AC31" i="2"/>
  <c r="U31" i="2"/>
  <c r="O31" i="2"/>
  <c r="R31" i="2" s="1"/>
  <c r="N31" i="2"/>
  <c r="Q31" i="2" s="1"/>
  <c r="M31" i="2"/>
  <c r="DM30" i="2"/>
  <c r="CW30" i="2"/>
  <c r="CO30" i="2"/>
  <c r="CG30" i="2"/>
  <c r="BY30" i="2"/>
  <c r="BQ30" i="2"/>
  <c r="BI30" i="2"/>
  <c r="BA30" i="2"/>
  <c r="AS30" i="2"/>
  <c r="AK30" i="2"/>
  <c r="AC30" i="2"/>
  <c r="U30" i="2"/>
  <c r="O30" i="2"/>
  <c r="R30" i="2" s="1"/>
  <c r="N30" i="2"/>
  <c r="V30" i="2" s="1"/>
  <c r="M30" i="2"/>
  <c r="DM10" i="2"/>
  <c r="CW10" i="2"/>
  <c r="CO10" i="2"/>
  <c r="CG10" i="2"/>
  <c r="BY10" i="2"/>
  <c r="BQ10" i="2"/>
  <c r="BI10" i="2"/>
  <c r="BA10" i="2"/>
  <c r="AS10" i="2"/>
  <c r="AK10" i="2"/>
  <c r="AC10" i="2"/>
  <c r="U10" i="2"/>
  <c r="O10" i="2"/>
  <c r="N10" i="2"/>
  <c r="V10" i="2" s="1"/>
  <c r="AD10" i="2" s="1"/>
  <c r="AL10" i="2" s="1"/>
  <c r="AT10" i="2" s="1"/>
  <c r="BB10" i="2" s="1"/>
  <c r="BJ10" i="2" s="1"/>
  <c r="BR10" i="2" s="1"/>
  <c r="BZ10" i="2" s="1"/>
  <c r="CH10" i="2" s="1"/>
  <c r="CP10" i="2" s="1"/>
  <c r="M10" i="2"/>
  <c r="DM9" i="2"/>
  <c r="CW9" i="2"/>
  <c r="CO9" i="2"/>
  <c r="CG9" i="2"/>
  <c r="BY9" i="2"/>
  <c r="BQ9" i="2"/>
  <c r="BI9" i="2"/>
  <c r="BA9" i="2"/>
  <c r="AS9" i="2"/>
  <c r="AK9" i="2"/>
  <c r="AC9" i="2"/>
  <c r="U9" i="2"/>
  <c r="O9" i="2"/>
  <c r="R9" i="2" s="1"/>
  <c r="N9" i="2"/>
  <c r="Q9" i="2" s="1"/>
  <c r="M9" i="2"/>
  <c r="DM8" i="2"/>
  <c r="CW8" i="2"/>
  <c r="CO8" i="2"/>
  <c r="CG8" i="2"/>
  <c r="BY8" i="2"/>
  <c r="BQ8" i="2"/>
  <c r="BI8" i="2"/>
  <c r="BA8" i="2"/>
  <c r="AS8" i="2"/>
  <c r="AK8" i="2"/>
  <c r="AC8" i="2"/>
  <c r="U8" i="2"/>
  <c r="O8" i="2"/>
  <c r="N8" i="2"/>
  <c r="V8" i="2" s="1"/>
  <c r="M8" i="2"/>
  <c r="DM5" i="2"/>
  <c r="CW5" i="2"/>
  <c r="CO5" i="2"/>
  <c r="CG5" i="2"/>
  <c r="BY5" i="2"/>
  <c r="BQ5" i="2"/>
  <c r="BI5" i="2"/>
  <c r="BA5" i="2"/>
  <c r="AS5" i="2"/>
  <c r="AK5" i="2"/>
  <c r="AC5" i="2"/>
  <c r="U5" i="2"/>
  <c r="O5" i="2"/>
  <c r="N5" i="2"/>
  <c r="M5" i="2"/>
  <c r="DM6" i="2"/>
  <c r="CW6" i="2"/>
  <c r="CO6" i="2"/>
  <c r="CG6" i="2"/>
  <c r="BY6" i="2"/>
  <c r="BQ6" i="2"/>
  <c r="BI6" i="2"/>
  <c r="BA6" i="2"/>
  <c r="AS6" i="2"/>
  <c r="AK6" i="2"/>
  <c r="AC6" i="2"/>
  <c r="U6" i="2"/>
  <c r="O6" i="2"/>
  <c r="R6" i="2" s="1"/>
  <c r="N6" i="2"/>
  <c r="Q6" i="2" s="1"/>
  <c r="M6" i="2"/>
  <c r="DM7" i="2"/>
  <c r="CW7" i="2"/>
  <c r="CO7" i="2"/>
  <c r="CG7" i="2"/>
  <c r="BY7" i="2"/>
  <c r="BQ7" i="2"/>
  <c r="BI7" i="2"/>
  <c r="BA7" i="2"/>
  <c r="AS7" i="2"/>
  <c r="AK7" i="2"/>
  <c r="AC7" i="2"/>
  <c r="U7" i="2"/>
  <c r="O7" i="2"/>
  <c r="R7" i="2" s="1"/>
  <c r="N7" i="2"/>
  <c r="Q7" i="2" s="1"/>
  <c r="M7" i="2"/>
  <c r="M23" i="2"/>
  <c r="N23" i="2"/>
  <c r="O23" i="2"/>
  <c r="U23" i="2"/>
  <c r="AC23" i="2"/>
  <c r="AK23" i="2"/>
  <c r="AS23" i="2"/>
  <c r="BA23" i="2"/>
  <c r="BI23" i="2"/>
  <c r="BQ23" i="2"/>
  <c r="BY23" i="2"/>
  <c r="CG23" i="2"/>
  <c r="CO23" i="2"/>
  <c r="CW23" i="2"/>
  <c r="DM23" i="2"/>
  <c r="M24" i="2"/>
  <c r="N24" i="2"/>
  <c r="V24" i="2" s="1"/>
  <c r="O24" i="2"/>
  <c r="R24" i="2" s="1"/>
  <c r="U24" i="2"/>
  <c r="AC24" i="2"/>
  <c r="AK24" i="2"/>
  <c r="AS24" i="2"/>
  <c r="BA24" i="2"/>
  <c r="BI24" i="2"/>
  <c r="BQ24" i="2"/>
  <c r="BY24" i="2"/>
  <c r="CG24" i="2"/>
  <c r="CO24" i="2"/>
  <c r="CW24" i="2"/>
  <c r="DM24" i="2"/>
  <c r="M25" i="2"/>
  <c r="N25" i="2"/>
  <c r="Q25" i="2" s="1"/>
  <c r="O25" i="2"/>
  <c r="R25" i="2" s="1"/>
  <c r="U25" i="2"/>
  <c r="AC25" i="2"/>
  <c r="AK25" i="2"/>
  <c r="AS25" i="2"/>
  <c r="BA25" i="2"/>
  <c r="BI25" i="2"/>
  <c r="BQ25" i="2"/>
  <c r="BY25" i="2"/>
  <c r="CG25" i="2"/>
  <c r="CO25" i="2"/>
  <c r="CW25" i="2"/>
  <c r="DM25" i="2"/>
  <c r="M26" i="2"/>
  <c r="N26" i="2"/>
  <c r="O26" i="2"/>
  <c r="U26" i="2"/>
  <c r="AC26" i="2"/>
  <c r="AK26" i="2"/>
  <c r="AS26" i="2"/>
  <c r="BA26" i="2"/>
  <c r="BI26" i="2"/>
  <c r="BQ26" i="2"/>
  <c r="BY26" i="2"/>
  <c r="CG26" i="2"/>
  <c r="CO26" i="2"/>
  <c r="CW26" i="2"/>
  <c r="DM26" i="2"/>
  <c r="M27" i="2"/>
  <c r="N27" i="2"/>
  <c r="Q27" i="2" s="1"/>
  <c r="O27" i="2"/>
  <c r="W27" i="2" s="1"/>
  <c r="U27" i="2"/>
  <c r="AC27" i="2"/>
  <c r="AK27" i="2"/>
  <c r="AS27" i="2"/>
  <c r="BA27" i="2"/>
  <c r="BI27" i="2"/>
  <c r="BQ27" i="2"/>
  <c r="BY27" i="2"/>
  <c r="CG27" i="2"/>
  <c r="CO27" i="2"/>
  <c r="CW27" i="2"/>
  <c r="DM27" i="2"/>
  <c r="M28" i="2"/>
  <c r="N28" i="2"/>
  <c r="Q28" i="2" s="1"/>
  <c r="O28" i="2"/>
  <c r="U28" i="2"/>
  <c r="AC28" i="2"/>
  <c r="AK28" i="2"/>
  <c r="AS28" i="2"/>
  <c r="BA28" i="2"/>
  <c r="BI28" i="2"/>
  <c r="BQ28" i="2"/>
  <c r="BY28" i="2"/>
  <c r="CG28" i="2"/>
  <c r="CO28" i="2"/>
  <c r="CW28" i="2"/>
  <c r="DM28" i="2"/>
  <c r="M29" i="2"/>
  <c r="N29" i="2"/>
  <c r="O29" i="2"/>
  <c r="U29" i="2"/>
  <c r="AC29" i="2"/>
  <c r="AK29" i="2"/>
  <c r="AS29" i="2"/>
  <c r="BA29" i="2"/>
  <c r="BI29" i="2"/>
  <c r="BQ29" i="2"/>
  <c r="BY29" i="2"/>
  <c r="CG29" i="2"/>
  <c r="CO29" i="2"/>
  <c r="CW29" i="2"/>
  <c r="DM29" i="2"/>
  <c r="M32" i="2"/>
  <c r="N32" i="2"/>
  <c r="O32" i="2"/>
  <c r="U32" i="2"/>
  <c r="AC32" i="2"/>
  <c r="AK32" i="2"/>
  <c r="AS32" i="2"/>
  <c r="BA32" i="2"/>
  <c r="BI32" i="2"/>
  <c r="BQ32" i="2"/>
  <c r="BY32" i="2"/>
  <c r="CG32" i="2"/>
  <c r="CO32" i="2"/>
  <c r="CW32" i="2"/>
  <c r="DM32" i="2"/>
  <c r="M33" i="2"/>
  <c r="N33" i="2"/>
  <c r="V33" i="2" s="1"/>
  <c r="AD33" i="2" s="1"/>
  <c r="O33" i="2"/>
  <c r="W33" i="2" s="1"/>
  <c r="U33" i="2"/>
  <c r="AC33" i="2"/>
  <c r="AK33" i="2"/>
  <c r="AS33" i="2"/>
  <c r="BA33" i="2"/>
  <c r="BI33" i="2"/>
  <c r="BQ33" i="2"/>
  <c r="BY33" i="2"/>
  <c r="CG33" i="2"/>
  <c r="CO33" i="2"/>
  <c r="CW33" i="2"/>
  <c r="DM33" i="2"/>
  <c r="M34" i="2"/>
  <c r="N34" i="2"/>
  <c r="O34" i="2"/>
  <c r="U34" i="2"/>
  <c r="AC34" i="2"/>
  <c r="AK34" i="2"/>
  <c r="AS34" i="2"/>
  <c r="BA34" i="2"/>
  <c r="BI34" i="2"/>
  <c r="BQ34" i="2"/>
  <c r="BY34" i="2"/>
  <c r="CG34" i="2"/>
  <c r="CO34" i="2"/>
  <c r="CW34" i="2"/>
  <c r="DM34" i="2"/>
  <c r="M35" i="2"/>
  <c r="N35" i="2"/>
  <c r="O35" i="2"/>
  <c r="R35" i="2" s="1"/>
  <c r="U35" i="2"/>
  <c r="AC35" i="2"/>
  <c r="AK35" i="2"/>
  <c r="AS35" i="2"/>
  <c r="BA35" i="2"/>
  <c r="BI35" i="2"/>
  <c r="BQ35" i="2"/>
  <c r="BY35" i="2"/>
  <c r="CG35" i="2"/>
  <c r="CO35" i="2"/>
  <c r="CW35" i="2"/>
  <c r="DM35" i="2"/>
  <c r="M36" i="2"/>
  <c r="N36" i="2"/>
  <c r="O36" i="2"/>
  <c r="W36" i="2" s="1"/>
  <c r="U36" i="2"/>
  <c r="AC36" i="2"/>
  <c r="AK36" i="2"/>
  <c r="AS36" i="2"/>
  <c r="BA36" i="2"/>
  <c r="BI36" i="2"/>
  <c r="BQ36" i="2"/>
  <c r="BY36" i="2"/>
  <c r="CG36" i="2"/>
  <c r="CO36" i="2"/>
  <c r="CW36" i="2"/>
  <c r="DM36" i="2"/>
  <c r="M37" i="2"/>
  <c r="N37" i="2"/>
  <c r="Q37" i="2" s="1"/>
  <c r="O37" i="2"/>
  <c r="U37" i="2"/>
  <c r="AC37" i="2"/>
  <c r="AK37" i="2"/>
  <c r="AS37" i="2"/>
  <c r="BA37" i="2"/>
  <c r="BI37" i="2"/>
  <c r="BQ37" i="2"/>
  <c r="BY37" i="2"/>
  <c r="CG37" i="2"/>
  <c r="CO37" i="2"/>
  <c r="CW37" i="2"/>
  <c r="DM37" i="2"/>
  <c r="AU20" i="2" l="1"/>
  <c r="AP20" i="2"/>
  <c r="AN20" i="2"/>
  <c r="BE17" i="2"/>
  <c r="BJ17" i="2"/>
  <c r="AF17" i="2"/>
  <c r="AH17" i="2"/>
  <c r="AM17" i="2"/>
  <c r="AN15" i="2"/>
  <c r="AP15" i="2"/>
  <c r="AU15" i="2"/>
  <c r="AN19" i="2"/>
  <c r="AP19" i="2"/>
  <c r="AU19" i="2"/>
  <c r="BJ21" i="2"/>
  <c r="BE21" i="2"/>
  <c r="BC18" i="2"/>
  <c r="AV18" i="2"/>
  <c r="AX18" i="2"/>
  <c r="AF21" i="2"/>
  <c r="AH21" i="2"/>
  <c r="AM21" i="2"/>
  <c r="AW14" i="2"/>
  <c r="BB14" i="2"/>
  <c r="AW15" i="2"/>
  <c r="BB15" i="2"/>
  <c r="AO16" i="2"/>
  <c r="AT16" i="2"/>
  <c r="BC22" i="2"/>
  <c r="AV22" i="2"/>
  <c r="AX22" i="2"/>
  <c r="BB18" i="2"/>
  <c r="AW18" i="2"/>
  <c r="BB19" i="2"/>
  <c r="AW19" i="2"/>
  <c r="AT20" i="2"/>
  <c r="AO20" i="2"/>
  <c r="BB22" i="2"/>
  <c r="AW22" i="2"/>
  <c r="AU16" i="2"/>
  <c r="AN16" i="2"/>
  <c r="AP16" i="2"/>
  <c r="BC14" i="2"/>
  <c r="AV14" i="2"/>
  <c r="AX14" i="2"/>
  <c r="C12" i="3"/>
  <c r="C10" i="3"/>
  <c r="V5" i="2"/>
  <c r="Y5" i="2" s="1"/>
  <c r="C8" i="3"/>
  <c r="Q23" i="2"/>
  <c r="C9" i="3"/>
  <c r="C11" i="3"/>
  <c r="D8" i="3"/>
  <c r="D12" i="3"/>
  <c r="D9" i="3"/>
  <c r="W32" i="2"/>
  <c r="AE32" i="2" s="1"/>
  <c r="D11" i="3"/>
  <c r="D10" i="3"/>
  <c r="W23" i="2"/>
  <c r="J11" i="2"/>
  <c r="J13" i="2"/>
  <c r="J12" i="2"/>
  <c r="Q12" i="2"/>
  <c r="Z12" i="2"/>
  <c r="AE12" i="2"/>
  <c r="X12" i="2"/>
  <c r="Y11" i="2"/>
  <c r="AD11" i="2"/>
  <c r="Z11" i="2"/>
  <c r="AE11" i="2"/>
  <c r="X11" i="2"/>
  <c r="P11" i="2"/>
  <c r="P12" i="2"/>
  <c r="Q11" i="2"/>
  <c r="R11" i="2"/>
  <c r="R12" i="2"/>
  <c r="AD12" i="2"/>
  <c r="Y12" i="2"/>
  <c r="V13" i="2"/>
  <c r="Q13" i="2"/>
  <c r="W13" i="2"/>
  <c r="R13" i="2"/>
  <c r="P13" i="2"/>
  <c r="P6" i="2"/>
  <c r="P5" i="2"/>
  <c r="AG10" i="2"/>
  <c r="R5" i="2"/>
  <c r="P10" i="2"/>
  <c r="AO10" i="2"/>
  <c r="Q30" i="2"/>
  <c r="Q8" i="2"/>
  <c r="Q10" i="2"/>
  <c r="Q5" i="2"/>
  <c r="V9" i="2"/>
  <c r="AD9" i="2" s="1"/>
  <c r="AG9" i="2" s="1"/>
  <c r="R10" i="2"/>
  <c r="J30" i="2"/>
  <c r="J31" i="2"/>
  <c r="J10" i="2"/>
  <c r="Y10" i="2"/>
  <c r="BM10" i="2"/>
  <c r="AW10" i="2"/>
  <c r="CK10" i="2"/>
  <c r="J6" i="2"/>
  <c r="J5" i="2"/>
  <c r="BE10" i="2"/>
  <c r="J9" i="2"/>
  <c r="J7" i="2"/>
  <c r="J8" i="2"/>
  <c r="V31" i="2"/>
  <c r="W31" i="2"/>
  <c r="P31" i="2"/>
  <c r="Y30" i="2"/>
  <c r="AD30" i="2"/>
  <c r="W30" i="2"/>
  <c r="P30" i="2"/>
  <c r="AD8" i="2"/>
  <c r="Y8" i="2"/>
  <c r="CS10" i="2"/>
  <c r="CX10" i="2"/>
  <c r="R8" i="2"/>
  <c r="P8" i="2"/>
  <c r="BU10" i="2"/>
  <c r="CC10" i="2"/>
  <c r="W8" i="2"/>
  <c r="W9" i="2"/>
  <c r="P9" i="2"/>
  <c r="W10" i="2"/>
  <c r="W5" i="2"/>
  <c r="V6" i="2"/>
  <c r="W6" i="2"/>
  <c r="W7" i="2"/>
  <c r="P7" i="2"/>
  <c r="V7" i="2"/>
  <c r="J32" i="2"/>
  <c r="J29" i="2"/>
  <c r="R36" i="2"/>
  <c r="W35" i="2"/>
  <c r="AE35" i="2" s="1"/>
  <c r="J26" i="2"/>
  <c r="P24" i="2"/>
  <c r="J24" i="2"/>
  <c r="Q33" i="2"/>
  <c r="R32" i="2"/>
  <c r="V27" i="2"/>
  <c r="Y27" i="2" s="1"/>
  <c r="J25" i="2"/>
  <c r="W25" i="2"/>
  <c r="AE25" i="2" s="1"/>
  <c r="R27" i="2"/>
  <c r="J34" i="2"/>
  <c r="J33" i="2"/>
  <c r="Q24" i="2"/>
  <c r="V23" i="2"/>
  <c r="AG33" i="2"/>
  <c r="AL33" i="2"/>
  <c r="AO33" i="2" s="1"/>
  <c r="J35" i="2"/>
  <c r="V25" i="2"/>
  <c r="W24" i="2"/>
  <c r="X24" i="2" s="1"/>
  <c r="V37" i="2"/>
  <c r="AD37" i="2" s="1"/>
  <c r="V28" i="2"/>
  <c r="Y28" i="2" s="1"/>
  <c r="P25" i="2"/>
  <c r="P35" i="2"/>
  <c r="V35" i="2"/>
  <c r="X33" i="2"/>
  <c r="Z33" i="2"/>
  <c r="AE33" i="2"/>
  <c r="AH33" i="2" s="1"/>
  <c r="P36" i="2"/>
  <c r="Q36" i="2"/>
  <c r="V36" i="2"/>
  <c r="Y36" i="2" s="1"/>
  <c r="Z27" i="2"/>
  <c r="AE27" i="2"/>
  <c r="AE36" i="2"/>
  <c r="Z36" i="2"/>
  <c r="R37" i="2"/>
  <c r="W37" i="2"/>
  <c r="J36" i="2"/>
  <c r="R28" i="2"/>
  <c r="W28" i="2"/>
  <c r="Z28" i="2" s="1"/>
  <c r="P28" i="2"/>
  <c r="Y24" i="2"/>
  <c r="R34" i="2"/>
  <c r="P34" i="2"/>
  <c r="W34" i="2"/>
  <c r="Z34" i="2" s="1"/>
  <c r="AD24" i="2"/>
  <c r="J37" i="2"/>
  <c r="Y33" i="2"/>
  <c r="R29" i="2"/>
  <c r="W29" i="2"/>
  <c r="J27" i="2"/>
  <c r="Q26" i="2"/>
  <c r="V26" i="2"/>
  <c r="P27" i="2"/>
  <c r="P33" i="2"/>
  <c r="J28" i="2"/>
  <c r="J23" i="2"/>
  <c r="Q29" i="2"/>
  <c r="V29" i="2"/>
  <c r="P37" i="2"/>
  <c r="P26" i="2"/>
  <c r="R26" i="2"/>
  <c r="W26" i="2"/>
  <c r="P32" i="2"/>
  <c r="Q35" i="2"/>
  <c r="Q34" i="2"/>
  <c r="V34" i="2"/>
  <c r="Q32" i="2"/>
  <c r="V32" i="2"/>
  <c r="R33" i="2"/>
  <c r="P29" i="2"/>
  <c r="P23" i="2"/>
  <c r="R23" i="2"/>
  <c r="E12" i="3"/>
  <c r="AD5" i="2" l="1"/>
  <c r="AW20" i="2"/>
  <c r="BB20" i="2"/>
  <c r="BE14" i="2"/>
  <c r="BJ14" i="2"/>
  <c r="AP21" i="2"/>
  <c r="AU21" i="2"/>
  <c r="AN21" i="2"/>
  <c r="AP17" i="2"/>
  <c r="AU17" i="2"/>
  <c r="AN17" i="2"/>
  <c r="BD22" i="2"/>
  <c r="BF22" i="2"/>
  <c r="BK22" i="2"/>
  <c r="BD18" i="2"/>
  <c r="BF18" i="2"/>
  <c r="BK18" i="2"/>
  <c r="BM17" i="2"/>
  <c r="BR17" i="2"/>
  <c r="AV16" i="2"/>
  <c r="AX16" i="2"/>
  <c r="BC16" i="2"/>
  <c r="AW16" i="2"/>
  <c r="BB16" i="2"/>
  <c r="BE19" i="2"/>
  <c r="BJ19" i="2"/>
  <c r="BE18" i="2"/>
  <c r="BJ18" i="2"/>
  <c r="BM21" i="2"/>
  <c r="BR21" i="2"/>
  <c r="BE22" i="2"/>
  <c r="BJ22" i="2"/>
  <c r="BE15" i="2"/>
  <c r="BJ15" i="2"/>
  <c r="AX19" i="2"/>
  <c r="BC19" i="2"/>
  <c r="AV19" i="2"/>
  <c r="AX15" i="2"/>
  <c r="BC15" i="2"/>
  <c r="AV15" i="2"/>
  <c r="BD14" i="2"/>
  <c r="BF14" i="2"/>
  <c r="BK14" i="2"/>
  <c r="AV20" i="2"/>
  <c r="AX20" i="2"/>
  <c r="BC20" i="2"/>
  <c r="Y23" i="2"/>
  <c r="E9" i="3"/>
  <c r="F9" i="3"/>
  <c r="E11" i="3"/>
  <c r="E8" i="3"/>
  <c r="E10" i="3"/>
  <c r="F8" i="3"/>
  <c r="X32" i="2"/>
  <c r="Z32" i="2"/>
  <c r="F11" i="3"/>
  <c r="F10" i="3"/>
  <c r="F12" i="3"/>
  <c r="AE23" i="2"/>
  <c r="AM23" i="2" s="1"/>
  <c r="Z23" i="2"/>
  <c r="AL12" i="2"/>
  <c r="AG12" i="2"/>
  <c r="Z13" i="2"/>
  <c r="X13" i="2"/>
  <c r="AE13" i="2"/>
  <c r="AM11" i="2"/>
  <c r="AH11" i="2"/>
  <c r="AF11" i="2"/>
  <c r="Y13" i="2"/>
  <c r="AD13" i="2"/>
  <c r="AL11" i="2"/>
  <c r="AG11" i="2"/>
  <c r="AH12" i="2"/>
  <c r="AM12" i="2"/>
  <c r="AF12" i="2"/>
  <c r="AL9" i="2"/>
  <c r="AT9" i="2" s="1"/>
  <c r="Y9" i="2"/>
  <c r="Z31" i="2"/>
  <c r="X31" i="2"/>
  <c r="AE31" i="2"/>
  <c r="Y31" i="2"/>
  <c r="AD31" i="2"/>
  <c r="Z30" i="2"/>
  <c r="X30" i="2"/>
  <c r="AE30" i="2"/>
  <c r="AG30" i="2"/>
  <c r="AL30" i="2"/>
  <c r="Z8" i="2"/>
  <c r="X8" i="2"/>
  <c r="AE8" i="2"/>
  <c r="Z9" i="2"/>
  <c r="X9" i="2"/>
  <c r="AE9" i="2"/>
  <c r="AL8" i="2"/>
  <c r="AG8" i="2"/>
  <c r="X10" i="2"/>
  <c r="AE10" i="2"/>
  <c r="Z10" i="2"/>
  <c r="DA10" i="2"/>
  <c r="DF10" i="2"/>
  <c r="Z5" i="2"/>
  <c r="X5" i="2"/>
  <c r="AE5" i="2"/>
  <c r="AG5" i="2"/>
  <c r="AL5" i="2"/>
  <c r="Z6" i="2"/>
  <c r="X6" i="2"/>
  <c r="AE6" i="2"/>
  <c r="Y6" i="2"/>
  <c r="AD6" i="2"/>
  <c r="Y7" i="2"/>
  <c r="AD7" i="2"/>
  <c r="Z7" i="2"/>
  <c r="X7" i="2"/>
  <c r="AE7" i="2"/>
  <c r="Y37" i="2"/>
  <c r="X37" i="2"/>
  <c r="X27" i="2"/>
  <c r="Z25" i="2"/>
  <c r="X23" i="2"/>
  <c r="AM35" i="2"/>
  <c r="AH35" i="2"/>
  <c r="X25" i="2"/>
  <c r="AD23" i="2"/>
  <c r="Z35" i="2"/>
  <c r="AD28" i="2"/>
  <c r="AL28" i="2" s="1"/>
  <c r="AE34" i="2"/>
  <c r="AM34" i="2" s="1"/>
  <c r="AF33" i="2"/>
  <c r="AM33" i="2"/>
  <c r="AU33" i="2" s="1"/>
  <c r="AT33" i="2"/>
  <c r="AW33" i="2" s="1"/>
  <c r="AD27" i="2"/>
  <c r="AF27" i="2" s="1"/>
  <c r="X28" i="2"/>
  <c r="AE28" i="2"/>
  <c r="AH28" i="2" s="1"/>
  <c r="X34" i="2"/>
  <c r="AE24" i="2"/>
  <c r="Z24" i="2"/>
  <c r="Y25" i="2"/>
  <c r="AD25" i="2"/>
  <c r="AF25" i="2" s="1"/>
  <c r="Y26" i="2"/>
  <c r="AD26" i="2"/>
  <c r="AG24" i="2"/>
  <c r="AL24" i="2"/>
  <c r="X36" i="2"/>
  <c r="AD36" i="2"/>
  <c r="Z29" i="2"/>
  <c r="AE29" i="2"/>
  <c r="X35" i="2"/>
  <c r="AD35" i="2"/>
  <c r="AM32" i="2"/>
  <c r="AH32" i="2"/>
  <c r="AH27" i="2"/>
  <c r="AM27" i="2"/>
  <c r="AH36" i="2"/>
  <c r="AM36" i="2"/>
  <c r="X29" i="2"/>
  <c r="Y35" i="2"/>
  <c r="AH25" i="2"/>
  <c r="AM25" i="2"/>
  <c r="Z37" i="2"/>
  <c r="AE37" i="2"/>
  <c r="AD34" i="2"/>
  <c r="Y34" i="2"/>
  <c r="AD29" i="2"/>
  <c r="Y29" i="2"/>
  <c r="Y32" i="2"/>
  <c r="AD32" i="2"/>
  <c r="X26" i="2"/>
  <c r="Z26" i="2"/>
  <c r="AE26" i="2"/>
  <c r="AG37" i="2"/>
  <c r="AL37" i="2"/>
  <c r="G12" i="3"/>
  <c r="BD19" i="2" l="1"/>
  <c r="BF19" i="2"/>
  <c r="BK19" i="2"/>
  <c r="BK16" i="2"/>
  <c r="BD16" i="2"/>
  <c r="BF16" i="2"/>
  <c r="AV17" i="2"/>
  <c r="AX17" i="2"/>
  <c r="BC17" i="2"/>
  <c r="BJ16" i="2"/>
  <c r="BE16" i="2"/>
  <c r="BS14" i="2"/>
  <c r="BL14" i="2"/>
  <c r="BN14" i="2"/>
  <c r="BZ17" i="2"/>
  <c r="BU17" i="2"/>
  <c r="AV21" i="2"/>
  <c r="BC21" i="2"/>
  <c r="AX21" i="2"/>
  <c r="BK20" i="2"/>
  <c r="BF20" i="2"/>
  <c r="BD20" i="2"/>
  <c r="BR22" i="2"/>
  <c r="BM22" i="2"/>
  <c r="BZ21" i="2"/>
  <c r="BU21" i="2"/>
  <c r="BS18" i="2"/>
  <c r="BL18" i="2"/>
  <c r="BN18" i="2"/>
  <c r="BR14" i="2"/>
  <c r="BM14" i="2"/>
  <c r="BR18" i="2"/>
  <c r="BM18" i="2"/>
  <c r="BD15" i="2"/>
  <c r="BF15" i="2"/>
  <c r="BK15" i="2"/>
  <c r="BE20" i="2"/>
  <c r="BJ20" i="2"/>
  <c r="BR15" i="2"/>
  <c r="BM15" i="2"/>
  <c r="BR19" i="2"/>
  <c r="BM19" i="2"/>
  <c r="BS22" i="2"/>
  <c r="BN22" i="2"/>
  <c r="BL22" i="2"/>
  <c r="G8" i="3"/>
  <c r="G11" i="3"/>
  <c r="G10" i="3"/>
  <c r="AG23" i="2"/>
  <c r="G9" i="3"/>
  <c r="H12" i="3"/>
  <c r="H8" i="3"/>
  <c r="H11" i="3"/>
  <c r="H10" i="3"/>
  <c r="H9" i="3"/>
  <c r="AH23" i="2"/>
  <c r="AU11" i="2"/>
  <c r="AP11" i="2"/>
  <c r="AN11" i="2"/>
  <c r="AO11" i="2"/>
  <c r="AT11" i="2"/>
  <c r="AL13" i="2"/>
  <c r="AG13" i="2"/>
  <c r="AP12" i="2"/>
  <c r="AU12" i="2"/>
  <c r="AN12" i="2"/>
  <c r="AT12" i="2"/>
  <c r="AO12" i="2"/>
  <c r="AM13" i="2"/>
  <c r="AH13" i="2"/>
  <c r="AF13" i="2"/>
  <c r="AO9" i="2"/>
  <c r="AG31" i="2"/>
  <c r="AL31" i="2"/>
  <c r="AH31" i="2"/>
  <c r="AF31" i="2"/>
  <c r="AM31" i="2"/>
  <c r="AO30" i="2"/>
  <c r="AT30" i="2"/>
  <c r="AH30" i="2"/>
  <c r="AF30" i="2"/>
  <c r="AM30" i="2"/>
  <c r="DN10" i="2"/>
  <c r="DI10" i="2"/>
  <c r="BB9" i="2"/>
  <c r="AW9" i="2"/>
  <c r="AH8" i="2"/>
  <c r="AF8" i="2"/>
  <c r="AM8" i="2"/>
  <c r="AT8" i="2"/>
  <c r="AO8" i="2"/>
  <c r="AH9" i="2"/>
  <c r="AF9" i="2"/>
  <c r="AM9" i="2"/>
  <c r="AF10" i="2"/>
  <c r="AM10" i="2"/>
  <c r="AH10" i="2"/>
  <c r="AO5" i="2"/>
  <c r="AT5" i="2"/>
  <c r="AH5" i="2"/>
  <c r="AF5" i="2"/>
  <c r="AM5" i="2"/>
  <c r="AG6" i="2"/>
  <c r="AL6" i="2"/>
  <c r="AH6" i="2"/>
  <c r="AF6" i="2"/>
  <c r="AM6" i="2"/>
  <c r="AH7" i="2"/>
  <c r="AF7" i="2"/>
  <c r="AM7" i="2"/>
  <c r="AL7" i="2"/>
  <c r="AG7" i="2"/>
  <c r="AF23" i="2"/>
  <c r="AG28" i="2"/>
  <c r="AN33" i="2"/>
  <c r="AP33" i="2"/>
  <c r="AL23" i="2"/>
  <c r="AU35" i="2"/>
  <c r="AP35" i="2"/>
  <c r="AH34" i="2"/>
  <c r="AM28" i="2"/>
  <c r="AU28" i="2" s="1"/>
  <c r="AF34" i="2"/>
  <c r="AF28" i="2"/>
  <c r="AL27" i="2"/>
  <c r="AN27" i="2" s="1"/>
  <c r="AG27" i="2"/>
  <c r="BB33" i="2"/>
  <c r="BJ33" i="2" s="1"/>
  <c r="AM24" i="2"/>
  <c r="AN24" i="2" s="1"/>
  <c r="AH24" i="2"/>
  <c r="AF24" i="2"/>
  <c r="AG25" i="2"/>
  <c r="AL25" i="2"/>
  <c r="AU32" i="2"/>
  <c r="AP32" i="2"/>
  <c r="AL26" i="2"/>
  <c r="AG26" i="2"/>
  <c r="AF35" i="2"/>
  <c r="AG35" i="2"/>
  <c r="AL35" i="2"/>
  <c r="AT24" i="2"/>
  <c r="AO24" i="2"/>
  <c r="AU25" i="2"/>
  <c r="AP25" i="2"/>
  <c r="AM37" i="2"/>
  <c r="AF37" i="2"/>
  <c r="AH37" i="2"/>
  <c r="AU36" i="2"/>
  <c r="AP36" i="2"/>
  <c r="AP27" i="2"/>
  <c r="AU27" i="2"/>
  <c r="AH29" i="2"/>
  <c r="AM29" i="2"/>
  <c r="AF36" i="2"/>
  <c r="AL36" i="2"/>
  <c r="AG36" i="2"/>
  <c r="AG29" i="2"/>
  <c r="AL29" i="2"/>
  <c r="AF29" i="2"/>
  <c r="AG32" i="2"/>
  <c r="AL32" i="2"/>
  <c r="AF32" i="2"/>
  <c r="AT28" i="2"/>
  <c r="AO28" i="2"/>
  <c r="AO37" i="2"/>
  <c r="AT37" i="2"/>
  <c r="AF26" i="2"/>
  <c r="AH26" i="2"/>
  <c r="AM26" i="2"/>
  <c r="AL34" i="2"/>
  <c r="AN34" i="2" s="1"/>
  <c r="AG34" i="2"/>
  <c r="AP34" i="2"/>
  <c r="AU34" i="2"/>
  <c r="AP23" i="2"/>
  <c r="AU23" i="2"/>
  <c r="BC33" i="2"/>
  <c r="AV33" i="2"/>
  <c r="AX33" i="2"/>
  <c r="I12" i="3"/>
  <c r="BU22" i="2" l="1"/>
  <c r="BZ22" i="2"/>
  <c r="BM16" i="2"/>
  <c r="BR16" i="2"/>
  <c r="BF17" i="2"/>
  <c r="BK17" i="2"/>
  <c r="BD17" i="2"/>
  <c r="BU18" i="2"/>
  <c r="BZ18" i="2"/>
  <c r="BL20" i="2"/>
  <c r="BN20" i="2"/>
  <c r="BS20" i="2"/>
  <c r="BT14" i="2"/>
  <c r="BV14" i="2"/>
  <c r="CA14" i="2"/>
  <c r="BU14" i="2"/>
  <c r="BZ14" i="2"/>
  <c r="BF21" i="2"/>
  <c r="BD21" i="2"/>
  <c r="BK21" i="2"/>
  <c r="BU19" i="2"/>
  <c r="BZ19" i="2"/>
  <c r="BN15" i="2"/>
  <c r="BS15" i="2"/>
  <c r="BL15" i="2"/>
  <c r="BL16" i="2"/>
  <c r="BN16" i="2"/>
  <c r="BS16" i="2"/>
  <c r="BU15" i="2"/>
  <c r="BZ15" i="2"/>
  <c r="BT18" i="2"/>
  <c r="BV18" i="2"/>
  <c r="CA18" i="2"/>
  <c r="CC17" i="2"/>
  <c r="CH17" i="2"/>
  <c r="BN19" i="2"/>
  <c r="BS19" i="2"/>
  <c r="BL19" i="2"/>
  <c r="BM20" i="2"/>
  <c r="BR20" i="2"/>
  <c r="BT22" i="2"/>
  <c r="BV22" i="2"/>
  <c r="CA22" i="2"/>
  <c r="CC21" i="2"/>
  <c r="CH21" i="2"/>
  <c r="I8" i="3"/>
  <c r="AN23" i="2"/>
  <c r="I9" i="3"/>
  <c r="I11" i="3"/>
  <c r="I10" i="3"/>
  <c r="J8" i="3"/>
  <c r="J11" i="3"/>
  <c r="J10" i="3"/>
  <c r="J12" i="3"/>
  <c r="J9" i="3"/>
  <c r="AO13" i="2"/>
  <c r="AT13" i="2"/>
  <c r="BB11" i="2"/>
  <c r="AW11" i="2"/>
  <c r="BC12" i="2"/>
  <c r="AX12" i="2"/>
  <c r="AV12" i="2"/>
  <c r="BB12" i="2"/>
  <c r="AW12" i="2"/>
  <c r="BC11" i="2"/>
  <c r="AX11" i="2"/>
  <c r="AV11" i="2"/>
  <c r="AP13" i="2"/>
  <c r="AN13" i="2"/>
  <c r="AU13" i="2"/>
  <c r="AP31" i="2"/>
  <c r="AN31" i="2"/>
  <c r="AU31" i="2"/>
  <c r="AO31" i="2"/>
  <c r="AT31" i="2"/>
  <c r="AP30" i="2"/>
  <c r="AN30" i="2"/>
  <c r="AU30" i="2"/>
  <c r="AW30" i="2"/>
  <c r="BB30" i="2"/>
  <c r="AN10" i="2"/>
  <c r="AU10" i="2"/>
  <c r="AP10" i="2"/>
  <c r="BE9" i="2"/>
  <c r="BJ9" i="2"/>
  <c r="BB8" i="2"/>
  <c r="AW8" i="2"/>
  <c r="AP8" i="2"/>
  <c r="AN8" i="2"/>
  <c r="AU8" i="2"/>
  <c r="AP9" i="2"/>
  <c r="AN9" i="2"/>
  <c r="AU9" i="2"/>
  <c r="DQ10" i="2"/>
  <c r="AP5" i="2"/>
  <c r="AN5" i="2"/>
  <c r="AU5" i="2"/>
  <c r="AW5" i="2"/>
  <c r="BB5" i="2"/>
  <c r="AP6" i="2"/>
  <c r="AN6" i="2"/>
  <c r="AU6" i="2"/>
  <c r="AO6" i="2"/>
  <c r="AT6" i="2"/>
  <c r="AT7" i="2"/>
  <c r="AO7" i="2"/>
  <c r="AP7" i="2"/>
  <c r="AN7" i="2"/>
  <c r="AU7" i="2"/>
  <c r="BE33" i="2"/>
  <c r="AO23" i="2"/>
  <c r="AT23" i="2"/>
  <c r="AN28" i="2"/>
  <c r="AP28" i="2"/>
  <c r="AX35" i="2"/>
  <c r="BC35" i="2"/>
  <c r="AO27" i="2"/>
  <c r="AT27" i="2"/>
  <c r="AV27" i="2" s="1"/>
  <c r="AP24" i="2"/>
  <c r="AU24" i="2"/>
  <c r="AV24" i="2" s="1"/>
  <c r="AT25" i="2"/>
  <c r="AV25" i="2" s="1"/>
  <c r="AO25" i="2"/>
  <c r="AN25" i="2"/>
  <c r="AN36" i="2"/>
  <c r="AT36" i="2"/>
  <c r="AV36" i="2" s="1"/>
  <c r="AO36" i="2"/>
  <c r="AX27" i="2"/>
  <c r="BC27" i="2"/>
  <c r="AX25" i="2"/>
  <c r="BC25" i="2"/>
  <c r="BB24" i="2"/>
  <c r="AW24" i="2"/>
  <c r="AP29" i="2"/>
  <c r="AU29" i="2"/>
  <c r="AO26" i="2"/>
  <c r="AT26" i="2"/>
  <c r="AX32" i="2"/>
  <c r="BC32" i="2"/>
  <c r="AX36" i="2"/>
  <c r="BC36" i="2"/>
  <c r="AP37" i="2"/>
  <c r="AN37" i="2"/>
  <c r="AU37" i="2"/>
  <c r="AV37" i="2" s="1"/>
  <c r="BR33" i="2"/>
  <c r="BM33" i="2"/>
  <c r="AN35" i="2"/>
  <c r="AO35" i="2"/>
  <c r="AT35" i="2"/>
  <c r="AO29" i="2"/>
  <c r="AT29" i="2"/>
  <c r="AN29" i="2"/>
  <c r="AN26" i="2"/>
  <c r="AP26" i="2"/>
  <c r="AU26" i="2"/>
  <c r="AT34" i="2"/>
  <c r="AV34" i="2" s="1"/>
  <c r="AO34" i="2"/>
  <c r="AX28" i="2"/>
  <c r="AV28" i="2"/>
  <c r="BC28" i="2"/>
  <c r="AO32" i="2"/>
  <c r="AT32" i="2"/>
  <c r="AN32" i="2"/>
  <c r="BD33" i="2"/>
  <c r="BK33" i="2"/>
  <c r="BF33" i="2"/>
  <c r="AX23" i="2"/>
  <c r="BC23" i="2"/>
  <c r="BK23" i="2" s="1"/>
  <c r="AX34" i="2"/>
  <c r="BC34" i="2"/>
  <c r="AW37" i="2"/>
  <c r="BB37" i="2"/>
  <c r="AW28" i="2"/>
  <c r="BB28" i="2"/>
  <c r="K12" i="3"/>
  <c r="BT15" i="2" l="1"/>
  <c r="BV15" i="2"/>
  <c r="CA15" i="2"/>
  <c r="CA20" i="2"/>
  <c r="BT20" i="2"/>
  <c r="BV20" i="2"/>
  <c r="CH18" i="2"/>
  <c r="CC18" i="2"/>
  <c r="CI18" i="2"/>
  <c r="CB18" i="2"/>
  <c r="CD18" i="2"/>
  <c r="CH15" i="2"/>
  <c r="CC15" i="2"/>
  <c r="BL17" i="2"/>
  <c r="BN17" i="2"/>
  <c r="BS17" i="2"/>
  <c r="CH19" i="2"/>
  <c r="CC19" i="2"/>
  <c r="CI22" i="2"/>
  <c r="CB22" i="2"/>
  <c r="CD22" i="2"/>
  <c r="CH14" i="2"/>
  <c r="CC14" i="2"/>
  <c r="CP21" i="2"/>
  <c r="CK21" i="2"/>
  <c r="CA16" i="2"/>
  <c r="BT16" i="2"/>
  <c r="BV16" i="2"/>
  <c r="BZ16" i="2"/>
  <c r="BU16" i="2"/>
  <c r="BL21" i="2"/>
  <c r="BN21" i="2"/>
  <c r="BS21" i="2"/>
  <c r="CI14" i="2"/>
  <c r="CB14" i="2"/>
  <c r="CD14" i="2"/>
  <c r="CH22" i="2"/>
  <c r="CC22" i="2"/>
  <c r="CP17" i="2"/>
  <c r="CK17" i="2"/>
  <c r="BZ20" i="2"/>
  <c r="BU20" i="2"/>
  <c r="BT19" i="2"/>
  <c r="BV19" i="2"/>
  <c r="CA19" i="2"/>
  <c r="K10" i="3"/>
  <c r="K11" i="3"/>
  <c r="K8" i="3"/>
  <c r="AW23" i="2"/>
  <c r="K9" i="3"/>
  <c r="L11" i="3"/>
  <c r="L8" i="3"/>
  <c r="L10" i="3"/>
  <c r="L12" i="3"/>
  <c r="L9" i="3"/>
  <c r="BF12" i="2"/>
  <c r="BK12" i="2"/>
  <c r="BD12" i="2"/>
  <c r="BF11" i="2"/>
  <c r="BK11" i="2"/>
  <c r="BD11" i="2"/>
  <c r="BJ11" i="2"/>
  <c r="BE11" i="2"/>
  <c r="BB13" i="2"/>
  <c r="AW13" i="2"/>
  <c r="BC13" i="2"/>
  <c r="AX13" i="2"/>
  <c r="AV13" i="2"/>
  <c r="BJ12" i="2"/>
  <c r="BE12" i="2"/>
  <c r="AW31" i="2"/>
  <c r="BB31" i="2"/>
  <c r="AX31" i="2"/>
  <c r="AV31" i="2"/>
  <c r="BC31" i="2"/>
  <c r="BE30" i="2"/>
  <c r="BJ30" i="2"/>
  <c r="AX30" i="2"/>
  <c r="AV30" i="2"/>
  <c r="BC30" i="2"/>
  <c r="BJ8" i="2"/>
  <c r="BE8" i="2"/>
  <c r="AV10" i="2"/>
  <c r="BC10" i="2"/>
  <c r="AX10" i="2"/>
  <c r="BM9" i="2"/>
  <c r="BR9" i="2"/>
  <c r="AX9" i="2"/>
  <c r="AV9" i="2"/>
  <c r="BC9" i="2"/>
  <c r="AX8" i="2"/>
  <c r="AV8" i="2"/>
  <c r="BC8" i="2"/>
  <c r="BE5" i="2"/>
  <c r="BJ5" i="2"/>
  <c r="AX5" i="2"/>
  <c r="AV5" i="2"/>
  <c r="BC5" i="2"/>
  <c r="AX6" i="2"/>
  <c r="AV6" i="2"/>
  <c r="BC6" i="2"/>
  <c r="AW6" i="2"/>
  <c r="BB6" i="2"/>
  <c r="AX7" i="2"/>
  <c r="AV7" i="2"/>
  <c r="BC7" i="2"/>
  <c r="AW7" i="2"/>
  <c r="BB7" i="2"/>
  <c r="AV23" i="2"/>
  <c r="BB23" i="2"/>
  <c r="BK35" i="2"/>
  <c r="BF35" i="2"/>
  <c r="AW27" i="2"/>
  <c r="BB27" i="2"/>
  <c r="BD27" i="2" s="1"/>
  <c r="AW25" i="2"/>
  <c r="BB25" i="2"/>
  <c r="BD25" i="2" s="1"/>
  <c r="BC24" i="2"/>
  <c r="AX24" i="2"/>
  <c r="BF36" i="2"/>
  <c r="BK36" i="2"/>
  <c r="BK27" i="2"/>
  <c r="BF27" i="2"/>
  <c r="BF32" i="2"/>
  <c r="BK32" i="2"/>
  <c r="AW26" i="2"/>
  <c r="BB26" i="2"/>
  <c r="BU33" i="2"/>
  <c r="BZ33" i="2"/>
  <c r="BC29" i="2"/>
  <c r="AX29" i="2"/>
  <c r="BF25" i="2"/>
  <c r="BE24" i="2"/>
  <c r="BJ24" i="2"/>
  <c r="BC37" i="2"/>
  <c r="BD37" i="2" s="1"/>
  <c r="AX37" i="2"/>
  <c r="BB35" i="2"/>
  <c r="AV35" i="2"/>
  <c r="AW35" i="2"/>
  <c r="BB36" i="2"/>
  <c r="AW36" i="2"/>
  <c r="AV26" i="2"/>
  <c r="AX26" i="2"/>
  <c r="BC26" i="2"/>
  <c r="BK26" i="2" s="1"/>
  <c r="BF34" i="2"/>
  <c r="BK34" i="2"/>
  <c r="BB29" i="2"/>
  <c r="AW29" i="2"/>
  <c r="AV29" i="2"/>
  <c r="BE37" i="2"/>
  <c r="BJ37" i="2"/>
  <c r="BS33" i="2"/>
  <c r="BL33" i="2"/>
  <c r="BN33" i="2"/>
  <c r="BE28" i="2"/>
  <c r="BJ28" i="2"/>
  <c r="BF28" i="2"/>
  <c r="BD28" i="2"/>
  <c r="BK28" i="2"/>
  <c r="AW32" i="2"/>
  <c r="BB32" i="2"/>
  <c r="AV32" i="2"/>
  <c r="BF23" i="2"/>
  <c r="BB34" i="2"/>
  <c r="BD34" i="2" s="1"/>
  <c r="AW34" i="2"/>
  <c r="M12" i="3"/>
  <c r="BD24" i="2" l="1"/>
  <c r="BK24" i="2"/>
  <c r="BL24" i="2"/>
  <c r="CS21" i="2"/>
  <c r="CX21" i="2"/>
  <c r="CK15" i="2"/>
  <c r="CP15" i="2"/>
  <c r="CJ18" i="2"/>
  <c r="CL18" i="2"/>
  <c r="CQ18" i="2"/>
  <c r="CJ22" i="2"/>
  <c r="CL22" i="2"/>
  <c r="CQ22" i="2"/>
  <c r="CK18" i="2"/>
  <c r="CP18" i="2"/>
  <c r="CD19" i="2"/>
  <c r="CI19" i="2"/>
  <c r="CB19" i="2"/>
  <c r="BV21" i="2"/>
  <c r="CA21" i="2"/>
  <c r="BT21" i="2"/>
  <c r="CC20" i="2"/>
  <c r="CH20" i="2"/>
  <c r="CC16" i="2"/>
  <c r="CH16" i="2"/>
  <c r="CK19" i="2"/>
  <c r="CP19" i="2"/>
  <c r="CJ14" i="2"/>
  <c r="CL14" i="2"/>
  <c r="CQ14" i="2"/>
  <c r="BV17" i="2"/>
  <c r="CA17" i="2"/>
  <c r="BT17" i="2"/>
  <c r="CB20" i="2"/>
  <c r="CD20" i="2"/>
  <c r="CI20" i="2"/>
  <c r="CS17" i="2"/>
  <c r="CX17" i="2"/>
  <c r="CD15" i="2"/>
  <c r="CI15" i="2"/>
  <c r="CB15" i="2"/>
  <c r="CK14" i="2"/>
  <c r="CP14" i="2"/>
  <c r="CB16" i="2"/>
  <c r="CD16" i="2"/>
  <c r="CI16" i="2"/>
  <c r="CK22" i="2"/>
  <c r="CP22" i="2"/>
  <c r="M11" i="3"/>
  <c r="M8" i="3"/>
  <c r="BD23" i="2"/>
  <c r="M9" i="3"/>
  <c r="M10" i="3"/>
  <c r="N12" i="3"/>
  <c r="N11" i="3"/>
  <c r="N8" i="3"/>
  <c r="N10" i="3"/>
  <c r="N9" i="3"/>
  <c r="BL12" i="2"/>
  <c r="BS12" i="2"/>
  <c r="BN12" i="2"/>
  <c r="BR11" i="2"/>
  <c r="BM11" i="2"/>
  <c r="BR12" i="2"/>
  <c r="BM12" i="2"/>
  <c r="BS11" i="2"/>
  <c r="BN11" i="2"/>
  <c r="BL11" i="2"/>
  <c r="BF13" i="2"/>
  <c r="BD13" i="2"/>
  <c r="BK13" i="2"/>
  <c r="BE13" i="2"/>
  <c r="BJ13" i="2"/>
  <c r="BF31" i="2"/>
  <c r="BD31" i="2"/>
  <c r="BK31" i="2"/>
  <c r="BE31" i="2"/>
  <c r="BJ31" i="2"/>
  <c r="BF30" i="2"/>
  <c r="BD30" i="2"/>
  <c r="BK30" i="2"/>
  <c r="BM30" i="2"/>
  <c r="BR30" i="2"/>
  <c r="BF9" i="2"/>
  <c r="BD9" i="2"/>
  <c r="BK9" i="2"/>
  <c r="BD10" i="2"/>
  <c r="BK10" i="2"/>
  <c r="BF10" i="2"/>
  <c r="BR8" i="2"/>
  <c r="BM8" i="2"/>
  <c r="BF8" i="2"/>
  <c r="BD8" i="2"/>
  <c r="BK8" i="2"/>
  <c r="BZ9" i="2"/>
  <c r="BU9" i="2"/>
  <c r="BF5" i="2"/>
  <c r="BD5" i="2"/>
  <c r="BK5" i="2"/>
  <c r="BM5" i="2"/>
  <c r="BR5" i="2"/>
  <c r="BE6" i="2"/>
  <c r="BJ6" i="2"/>
  <c r="BF6" i="2"/>
  <c r="BD6" i="2"/>
  <c r="BK6" i="2"/>
  <c r="BE7" i="2"/>
  <c r="BJ7" i="2"/>
  <c r="BF7" i="2"/>
  <c r="BD7" i="2"/>
  <c r="BK7" i="2"/>
  <c r="BJ23" i="2"/>
  <c r="BL23" i="2" s="1"/>
  <c r="BE23" i="2"/>
  <c r="BN35" i="2"/>
  <c r="BS35" i="2"/>
  <c r="BJ27" i="2"/>
  <c r="BL27" i="2" s="1"/>
  <c r="BE27" i="2"/>
  <c r="BE25" i="2"/>
  <c r="BJ25" i="2"/>
  <c r="BF24" i="2"/>
  <c r="BE36" i="2"/>
  <c r="BJ36" i="2"/>
  <c r="BL36" i="2" s="1"/>
  <c r="BS36" i="2"/>
  <c r="BN36" i="2"/>
  <c r="BS27" i="2"/>
  <c r="BN27" i="2"/>
  <c r="BF37" i="2"/>
  <c r="BK37" i="2"/>
  <c r="BL37" i="2" s="1"/>
  <c r="BF29" i="2"/>
  <c r="BK29" i="2"/>
  <c r="BS32" i="2"/>
  <c r="BN32" i="2"/>
  <c r="BE35" i="2"/>
  <c r="BJ35" i="2"/>
  <c r="BD35" i="2"/>
  <c r="BM24" i="2"/>
  <c r="BR24" i="2"/>
  <c r="BN25" i="2"/>
  <c r="BS25" i="2"/>
  <c r="BE26" i="2"/>
  <c r="BJ26" i="2"/>
  <c r="BL26" i="2" s="1"/>
  <c r="CH33" i="2"/>
  <c r="CC33" i="2"/>
  <c r="BD36" i="2"/>
  <c r="BN23" i="2"/>
  <c r="BS23" i="2"/>
  <c r="BE32" i="2"/>
  <c r="BJ32" i="2"/>
  <c r="BD32" i="2"/>
  <c r="CA33" i="2"/>
  <c r="BV33" i="2"/>
  <c r="BT33" i="2"/>
  <c r="BM37" i="2"/>
  <c r="BR37" i="2"/>
  <c r="BN28" i="2"/>
  <c r="BS28" i="2"/>
  <c r="BJ29" i="2"/>
  <c r="BE29" i="2"/>
  <c r="BD29" i="2"/>
  <c r="BJ34" i="2"/>
  <c r="BE34" i="2"/>
  <c r="BR28" i="2"/>
  <c r="BM28" i="2"/>
  <c r="BN34" i="2"/>
  <c r="BS34" i="2"/>
  <c r="BD26" i="2"/>
  <c r="BF26" i="2"/>
  <c r="O12" i="3"/>
  <c r="CX19" i="2" l="1"/>
  <c r="CS19" i="2"/>
  <c r="CS18" i="2"/>
  <c r="CX18" i="2"/>
  <c r="CY22" i="2"/>
  <c r="CT22" i="2"/>
  <c r="CR22" i="2"/>
  <c r="CY18" i="2"/>
  <c r="CR18" i="2"/>
  <c r="CT18" i="2"/>
  <c r="CB17" i="2"/>
  <c r="CD17" i="2"/>
  <c r="CI17" i="2"/>
  <c r="CI21" i="2"/>
  <c r="CB21" i="2"/>
  <c r="CD21" i="2"/>
  <c r="CQ20" i="2"/>
  <c r="CL20" i="2"/>
  <c r="CJ20" i="2"/>
  <c r="CX15" i="2"/>
  <c r="CS15" i="2"/>
  <c r="CY14" i="2"/>
  <c r="CR14" i="2"/>
  <c r="CT14" i="2"/>
  <c r="CP16" i="2"/>
  <c r="CK16" i="2"/>
  <c r="CP20" i="2"/>
  <c r="CK20" i="2"/>
  <c r="CJ19" i="2"/>
  <c r="CL19" i="2"/>
  <c r="CQ19" i="2"/>
  <c r="DF21" i="2"/>
  <c r="DA21" i="2"/>
  <c r="DF17" i="2"/>
  <c r="DA17" i="2"/>
  <c r="CX22" i="2"/>
  <c r="CS22" i="2"/>
  <c r="CQ16" i="2"/>
  <c r="CJ16" i="2"/>
  <c r="CL16" i="2"/>
  <c r="CX14" i="2"/>
  <c r="CS14" i="2"/>
  <c r="CJ15" i="2"/>
  <c r="CL15" i="2"/>
  <c r="CQ15" i="2"/>
  <c r="O8" i="3"/>
  <c r="BM23" i="2"/>
  <c r="O9" i="3"/>
  <c r="O11" i="3"/>
  <c r="O10" i="3"/>
  <c r="P10" i="3"/>
  <c r="P8" i="3"/>
  <c r="P11" i="3"/>
  <c r="P12" i="3"/>
  <c r="P9" i="3"/>
  <c r="BZ12" i="2"/>
  <c r="BU12" i="2"/>
  <c r="BS13" i="2"/>
  <c r="BN13" i="2"/>
  <c r="BL13" i="2"/>
  <c r="BR13" i="2"/>
  <c r="BM13" i="2"/>
  <c r="BU11" i="2"/>
  <c r="BZ11" i="2"/>
  <c r="BV12" i="2"/>
  <c r="CA12" i="2"/>
  <c r="BT12" i="2"/>
  <c r="BV11" i="2"/>
  <c r="BT11" i="2"/>
  <c r="CA11" i="2"/>
  <c r="BR23" i="2"/>
  <c r="BM31" i="2"/>
  <c r="BR31" i="2"/>
  <c r="BN31" i="2"/>
  <c r="BL31" i="2"/>
  <c r="BS31" i="2"/>
  <c r="BU30" i="2"/>
  <c r="BZ30" i="2"/>
  <c r="BN30" i="2"/>
  <c r="BL30" i="2"/>
  <c r="BS30" i="2"/>
  <c r="BN9" i="2"/>
  <c r="BL9" i="2"/>
  <c r="BS9" i="2"/>
  <c r="BZ8" i="2"/>
  <c r="BU8" i="2"/>
  <c r="BN8" i="2"/>
  <c r="BL8" i="2"/>
  <c r="BS8" i="2"/>
  <c r="CC9" i="2"/>
  <c r="CH9" i="2"/>
  <c r="BL10" i="2"/>
  <c r="BS10" i="2"/>
  <c r="BN10" i="2"/>
  <c r="BU5" i="2"/>
  <c r="BZ5" i="2"/>
  <c r="BN5" i="2"/>
  <c r="BL5" i="2"/>
  <c r="BS5" i="2"/>
  <c r="BN6" i="2"/>
  <c r="BL6" i="2"/>
  <c r="BS6" i="2"/>
  <c r="BM6" i="2"/>
  <c r="BR6" i="2"/>
  <c r="BN7" i="2"/>
  <c r="BL7" i="2"/>
  <c r="BS7" i="2"/>
  <c r="BR7" i="2"/>
  <c r="BM7" i="2"/>
  <c r="CA35" i="2"/>
  <c r="BV35" i="2"/>
  <c r="BM27" i="2"/>
  <c r="BR27" i="2"/>
  <c r="BT27" i="2" s="1"/>
  <c r="BN24" i="2"/>
  <c r="BS24" i="2"/>
  <c r="BT24" i="2" s="1"/>
  <c r="BR25" i="2"/>
  <c r="BT25" i="2" s="1"/>
  <c r="BM25" i="2"/>
  <c r="CP33" i="2"/>
  <c r="CK33" i="2"/>
  <c r="BM26" i="2"/>
  <c r="BR26" i="2"/>
  <c r="BS29" i="2"/>
  <c r="BN29" i="2"/>
  <c r="CA25" i="2"/>
  <c r="BV25" i="2"/>
  <c r="BV32" i="2"/>
  <c r="CA32" i="2"/>
  <c r="BN37" i="2"/>
  <c r="BS37" i="2"/>
  <c r="BT37" i="2" s="1"/>
  <c r="BV36" i="2"/>
  <c r="CA36" i="2"/>
  <c r="BU24" i="2"/>
  <c r="BZ24" i="2"/>
  <c r="BR35" i="2"/>
  <c r="BL35" i="2"/>
  <c r="BM35" i="2"/>
  <c r="BR36" i="2"/>
  <c r="BT36" i="2" s="1"/>
  <c r="BM36" i="2"/>
  <c r="CA27" i="2"/>
  <c r="BV27" i="2"/>
  <c r="BV28" i="2"/>
  <c r="BT28" i="2"/>
  <c r="CA28" i="2"/>
  <c r="BU37" i="2"/>
  <c r="BZ37" i="2"/>
  <c r="BR34" i="2"/>
  <c r="BT34" i="2" s="1"/>
  <c r="BM34" i="2"/>
  <c r="BZ28" i="2"/>
  <c r="BU28" i="2"/>
  <c r="BN26" i="2"/>
  <c r="BS26" i="2"/>
  <c r="BV34" i="2"/>
  <c r="CA34" i="2"/>
  <c r="BM32" i="2"/>
  <c r="BR32" i="2"/>
  <c r="BL32" i="2"/>
  <c r="BM29" i="2"/>
  <c r="BR29" i="2"/>
  <c r="BL29" i="2"/>
  <c r="CB33" i="2"/>
  <c r="CD33" i="2"/>
  <c r="CI33" i="2"/>
  <c r="BL34" i="2"/>
  <c r="BV23" i="2"/>
  <c r="CA23" i="2"/>
  <c r="Q12" i="3"/>
  <c r="DA22" i="2" l="1"/>
  <c r="DF22" i="2"/>
  <c r="CZ18" i="2"/>
  <c r="DB18" i="2"/>
  <c r="DG18" i="2"/>
  <c r="CT15" i="2"/>
  <c r="CY15" i="2"/>
  <c r="CR15" i="2"/>
  <c r="DA14" i="2"/>
  <c r="DF14" i="2"/>
  <c r="CR20" i="2"/>
  <c r="CT20" i="2"/>
  <c r="CY20" i="2"/>
  <c r="CZ22" i="2"/>
  <c r="DB22" i="2"/>
  <c r="DG22" i="2"/>
  <c r="DI17" i="2"/>
  <c r="DN17" i="2"/>
  <c r="DQ17" i="2" s="1"/>
  <c r="DA18" i="2"/>
  <c r="DF18" i="2"/>
  <c r="DA15" i="2"/>
  <c r="DF15" i="2"/>
  <c r="CS20" i="2"/>
  <c r="CX20" i="2"/>
  <c r="CZ14" i="2"/>
  <c r="DB14" i="2"/>
  <c r="DG14" i="2"/>
  <c r="DN21" i="2"/>
  <c r="DQ21" i="2" s="1"/>
  <c r="DI21" i="2"/>
  <c r="CR16" i="2"/>
  <c r="CT16" i="2"/>
  <c r="CY16" i="2"/>
  <c r="CL21" i="2"/>
  <c r="CQ21" i="2"/>
  <c r="CJ21" i="2"/>
  <c r="CT19" i="2"/>
  <c r="CY19" i="2"/>
  <c r="CR19" i="2"/>
  <c r="CS16" i="2"/>
  <c r="CX16" i="2"/>
  <c r="CL17" i="2"/>
  <c r="CQ17" i="2"/>
  <c r="CJ17" i="2"/>
  <c r="DA19" i="2"/>
  <c r="DF19" i="2"/>
  <c r="Q8" i="3"/>
  <c r="BT23" i="2"/>
  <c r="Q9" i="3"/>
  <c r="Q10" i="3"/>
  <c r="Q11" i="3"/>
  <c r="R11" i="3"/>
  <c r="R8" i="3"/>
  <c r="R10" i="3"/>
  <c r="R12" i="3"/>
  <c r="R9" i="3"/>
  <c r="BZ23" i="2"/>
  <c r="BU23" i="2"/>
  <c r="CI12" i="2"/>
  <c r="CD12" i="2"/>
  <c r="CB12" i="2"/>
  <c r="BV13" i="2"/>
  <c r="BT13" i="2"/>
  <c r="CA13" i="2"/>
  <c r="BU13" i="2"/>
  <c r="BZ13" i="2"/>
  <c r="CH12" i="2"/>
  <c r="CC12" i="2"/>
  <c r="CI11" i="2"/>
  <c r="CD11" i="2"/>
  <c r="CB11" i="2"/>
  <c r="CH11" i="2"/>
  <c r="CC11" i="2"/>
  <c r="BV31" i="2"/>
  <c r="BT31" i="2"/>
  <c r="CA31" i="2"/>
  <c r="BU31" i="2"/>
  <c r="BZ31" i="2"/>
  <c r="BV30" i="2"/>
  <c r="BT30" i="2"/>
  <c r="CA30" i="2"/>
  <c r="CC30" i="2"/>
  <c r="CH30" i="2"/>
  <c r="CH8" i="2"/>
  <c r="CC8" i="2"/>
  <c r="CK9" i="2"/>
  <c r="CP9" i="2"/>
  <c r="BV9" i="2"/>
  <c r="BT9" i="2"/>
  <c r="CA9" i="2"/>
  <c r="BV8" i="2"/>
  <c r="BT8" i="2"/>
  <c r="CA8" i="2"/>
  <c r="BT10" i="2"/>
  <c r="CA10" i="2"/>
  <c r="BV10" i="2"/>
  <c r="BV5" i="2"/>
  <c r="BT5" i="2"/>
  <c r="CA5" i="2"/>
  <c r="CC5" i="2"/>
  <c r="CH5" i="2"/>
  <c r="BU6" i="2"/>
  <c r="BZ6" i="2"/>
  <c r="BV6" i="2"/>
  <c r="BT6" i="2"/>
  <c r="CA6" i="2"/>
  <c r="BZ7" i="2"/>
  <c r="BU7" i="2"/>
  <c r="BV7" i="2"/>
  <c r="BT7" i="2"/>
  <c r="CA7" i="2"/>
  <c r="CD35" i="2"/>
  <c r="CI35" i="2"/>
  <c r="BZ27" i="2"/>
  <c r="CB27" i="2" s="1"/>
  <c r="BU27" i="2"/>
  <c r="BU25" i="2"/>
  <c r="BZ25" i="2"/>
  <c r="CB25" i="2" s="1"/>
  <c r="CA24" i="2"/>
  <c r="CB24" i="2" s="1"/>
  <c r="BV24" i="2"/>
  <c r="CC24" i="2"/>
  <c r="CH24" i="2"/>
  <c r="BZ36" i="2"/>
  <c r="CB36" i="2" s="1"/>
  <c r="BU36" i="2"/>
  <c r="BT35" i="2"/>
  <c r="BU35" i="2"/>
  <c r="BZ35" i="2"/>
  <c r="CD36" i="2"/>
  <c r="CI36" i="2"/>
  <c r="CI27" i="2"/>
  <c r="CD27" i="2"/>
  <c r="BU26" i="2"/>
  <c r="BZ26" i="2"/>
  <c r="CI25" i="2"/>
  <c r="CD25" i="2"/>
  <c r="CS33" i="2"/>
  <c r="CX33" i="2"/>
  <c r="CA29" i="2"/>
  <c r="BV29" i="2"/>
  <c r="BV37" i="2"/>
  <c r="CA37" i="2"/>
  <c r="CD32" i="2"/>
  <c r="CI32" i="2"/>
  <c r="CJ33" i="2"/>
  <c r="CL33" i="2"/>
  <c r="CQ33" i="2"/>
  <c r="CC28" i="2"/>
  <c r="CH28" i="2"/>
  <c r="BT26" i="2"/>
  <c r="BV26" i="2"/>
  <c r="CA26" i="2"/>
  <c r="BZ34" i="2"/>
  <c r="CB34" i="2" s="1"/>
  <c r="BU34" i="2"/>
  <c r="CD23" i="2"/>
  <c r="CI23" i="2"/>
  <c r="CC37" i="2"/>
  <c r="CH37" i="2"/>
  <c r="BU29" i="2"/>
  <c r="BZ29" i="2"/>
  <c r="BT29" i="2"/>
  <c r="CD28" i="2"/>
  <c r="CB28" i="2"/>
  <c r="CI28" i="2"/>
  <c r="BU32" i="2"/>
  <c r="BZ32" i="2"/>
  <c r="BT32" i="2"/>
  <c r="CD34" i="2"/>
  <c r="CI34" i="2"/>
  <c r="S12" i="3"/>
  <c r="DF20" i="2" l="1"/>
  <c r="DA20" i="2"/>
  <c r="DI14" i="2"/>
  <c r="DN14" i="2"/>
  <c r="DQ14" i="2" s="1"/>
  <c r="CZ15" i="2"/>
  <c r="DB15" i="2"/>
  <c r="DG15" i="2"/>
  <c r="CR21" i="2"/>
  <c r="CT21" i="2"/>
  <c r="CY21" i="2"/>
  <c r="DG16" i="2"/>
  <c r="CZ16" i="2"/>
  <c r="DB16" i="2"/>
  <c r="CR17" i="2"/>
  <c r="CT17" i="2"/>
  <c r="CY17" i="2"/>
  <c r="DO18" i="2"/>
  <c r="DH18" i="2"/>
  <c r="DJ18" i="2"/>
  <c r="DH22" i="2"/>
  <c r="DO22" i="2"/>
  <c r="DJ22" i="2"/>
  <c r="DI18" i="2"/>
  <c r="DN18" i="2"/>
  <c r="DQ18" i="2" s="1"/>
  <c r="DH14" i="2"/>
  <c r="DO14" i="2"/>
  <c r="DJ14" i="2"/>
  <c r="DN15" i="2"/>
  <c r="DQ15" i="2" s="1"/>
  <c r="DI15" i="2"/>
  <c r="DI22" i="2"/>
  <c r="DN22" i="2"/>
  <c r="DQ22" i="2" s="1"/>
  <c r="DN19" i="2"/>
  <c r="DQ19" i="2" s="1"/>
  <c r="DI19" i="2"/>
  <c r="DA16" i="2"/>
  <c r="DF16" i="2"/>
  <c r="CZ19" i="2"/>
  <c r="DB19" i="2"/>
  <c r="DG19" i="2"/>
  <c r="DB20" i="2"/>
  <c r="CZ20" i="2"/>
  <c r="DG20" i="2"/>
  <c r="S8" i="3"/>
  <c r="S10" i="3"/>
  <c r="CH23" i="2"/>
  <c r="S9" i="3"/>
  <c r="S11" i="3"/>
  <c r="T11" i="3"/>
  <c r="T12" i="3"/>
  <c r="T8" i="3"/>
  <c r="T10" i="3"/>
  <c r="T9" i="3"/>
  <c r="CC23" i="2"/>
  <c r="CB23" i="2"/>
  <c r="CQ11" i="2"/>
  <c r="CL11" i="2"/>
  <c r="CJ11" i="2"/>
  <c r="CH13" i="2"/>
  <c r="CC13" i="2"/>
  <c r="CP12" i="2"/>
  <c r="CK12" i="2"/>
  <c r="CL12" i="2"/>
  <c r="CJ12" i="2"/>
  <c r="CQ12" i="2"/>
  <c r="CK11" i="2"/>
  <c r="CP11" i="2"/>
  <c r="CI13" i="2"/>
  <c r="CD13" i="2"/>
  <c r="CB13" i="2"/>
  <c r="CC31" i="2"/>
  <c r="CH31" i="2"/>
  <c r="CD31" i="2"/>
  <c r="CB31" i="2"/>
  <c r="CI31" i="2"/>
  <c r="CK30" i="2"/>
  <c r="CP30" i="2"/>
  <c r="CD30" i="2"/>
  <c r="CB30" i="2"/>
  <c r="CI30" i="2"/>
  <c r="CD9" i="2"/>
  <c r="CB9" i="2"/>
  <c r="CI9" i="2"/>
  <c r="CP8" i="2"/>
  <c r="CK8" i="2"/>
  <c r="CB10" i="2"/>
  <c r="CI10" i="2"/>
  <c r="CD10" i="2"/>
  <c r="CX9" i="2"/>
  <c r="CS9" i="2"/>
  <c r="CD8" i="2"/>
  <c r="CB8" i="2"/>
  <c r="CI8" i="2"/>
  <c r="CK5" i="2"/>
  <c r="CP5" i="2"/>
  <c r="CD5" i="2"/>
  <c r="CB5" i="2"/>
  <c r="CI5" i="2"/>
  <c r="CD6" i="2"/>
  <c r="CB6" i="2"/>
  <c r="CI6" i="2"/>
  <c r="CC6" i="2"/>
  <c r="CH6" i="2"/>
  <c r="CD7" i="2"/>
  <c r="CB7" i="2"/>
  <c r="CI7" i="2"/>
  <c r="CC7" i="2"/>
  <c r="CH7" i="2"/>
  <c r="CQ35" i="2"/>
  <c r="CL35" i="2"/>
  <c r="CC27" i="2"/>
  <c r="CH27" i="2"/>
  <c r="CJ27" i="2" s="1"/>
  <c r="CH25" i="2"/>
  <c r="CJ25" i="2" s="1"/>
  <c r="CC25" i="2"/>
  <c r="CD24" i="2"/>
  <c r="CI24" i="2"/>
  <c r="CJ24" i="2" s="1"/>
  <c r="CI29" i="2"/>
  <c r="CD29" i="2"/>
  <c r="CL32" i="2"/>
  <c r="CQ32" i="2"/>
  <c r="DA33" i="2"/>
  <c r="DF33" i="2"/>
  <c r="CL36" i="2"/>
  <c r="CQ36" i="2"/>
  <c r="CK24" i="2"/>
  <c r="CP24" i="2"/>
  <c r="CL25" i="2"/>
  <c r="CQ25" i="2"/>
  <c r="CC26" i="2"/>
  <c r="CH26" i="2"/>
  <c r="CC36" i="2"/>
  <c r="CH36" i="2"/>
  <c r="CH35" i="2"/>
  <c r="CC35" i="2"/>
  <c r="CB35" i="2"/>
  <c r="CL27" i="2"/>
  <c r="CQ27" i="2"/>
  <c r="CI37" i="2"/>
  <c r="CJ37" i="2" s="1"/>
  <c r="CD37" i="2"/>
  <c r="CB37" i="2"/>
  <c r="CL28" i="2"/>
  <c r="CQ28" i="2"/>
  <c r="CJ28" i="2"/>
  <c r="CK23" i="2"/>
  <c r="CP23" i="2"/>
  <c r="CC29" i="2"/>
  <c r="CH29" i="2"/>
  <c r="CB29" i="2"/>
  <c r="CT33" i="2"/>
  <c r="CY33" i="2"/>
  <c r="CR33" i="2"/>
  <c r="CH34" i="2"/>
  <c r="CJ34" i="2" s="1"/>
  <c r="CC34" i="2"/>
  <c r="CL23" i="2"/>
  <c r="CJ23" i="2"/>
  <c r="CQ23" i="2"/>
  <c r="CC32" i="2"/>
  <c r="CH32" i="2"/>
  <c r="CB32" i="2"/>
  <c r="CK37" i="2"/>
  <c r="CP37" i="2"/>
  <c r="CK28" i="2"/>
  <c r="CP28" i="2"/>
  <c r="CB26" i="2"/>
  <c r="CD26" i="2"/>
  <c r="CI26" i="2"/>
  <c r="CL34" i="2"/>
  <c r="CQ34" i="2"/>
  <c r="U12" i="3"/>
  <c r="DB21" i="2" l="1"/>
  <c r="DG21" i="2"/>
  <c r="CZ21" i="2"/>
  <c r="DH16" i="2"/>
  <c r="DJ16" i="2"/>
  <c r="DO16" i="2"/>
  <c r="DO15" i="2"/>
  <c r="DJ15" i="2"/>
  <c r="DH15" i="2"/>
  <c r="DH20" i="2"/>
  <c r="DJ20" i="2"/>
  <c r="DO20" i="2"/>
  <c r="DP18" i="2"/>
  <c r="DR18" i="2"/>
  <c r="DI16" i="2"/>
  <c r="DN16" i="2"/>
  <c r="DQ16" i="2" s="1"/>
  <c r="DB17" i="2"/>
  <c r="DG17" i="2"/>
  <c r="CZ17" i="2"/>
  <c r="DP22" i="2"/>
  <c r="DR22" i="2"/>
  <c r="DH19" i="2"/>
  <c r="DO19" i="2"/>
  <c r="DJ19" i="2"/>
  <c r="DP14" i="2"/>
  <c r="DR14" i="2"/>
  <c r="DI20" i="2"/>
  <c r="DN20" i="2"/>
  <c r="DQ20" i="2" s="1"/>
  <c r="U8" i="3"/>
  <c r="U11" i="3"/>
  <c r="U10" i="3"/>
  <c r="U9" i="3"/>
  <c r="V12" i="3"/>
  <c r="V8" i="3"/>
  <c r="V11" i="3"/>
  <c r="V9" i="3"/>
  <c r="V10" i="3"/>
  <c r="CL13" i="2"/>
  <c r="CJ13" i="2"/>
  <c r="CQ13" i="2"/>
  <c r="CX11" i="2"/>
  <c r="CS11" i="2"/>
  <c r="CX12" i="2"/>
  <c r="CS12" i="2"/>
  <c r="CR12" i="2"/>
  <c r="CT12" i="2"/>
  <c r="CY12" i="2"/>
  <c r="CY11" i="2"/>
  <c r="CT11" i="2"/>
  <c r="CR11" i="2"/>
  <c r="CK13" i="2"/>
  <c r="CP13" i="2"/>
  <c r="CL31" i="2"/>
  <c r="CJ31" i="2"/>
  <c r="CQ31" i="2"/>
  <c r="CK31" i="2"/>
  <c r="CP31" i="2"/>
  <c r="CL30" i="2"/>
  <c r="CJ30" i="2"/>
  <c r="CQ30" i="2"/>
  <c r="CS30" i="2"/>
  <c r="CX30" i="2"/>
  <c r="CL8" i="2"/>
  <c r="CJ8" i="2"/>
  <c r="CQ8" i="2"/>
  <c r="DA9" i="2"/>
  <c r="DF9" i="2"/>
  <c r="CX8" i="2"/>
  <c r="CS8" i="2"/>
  <c r="CL9" i="2"/>
  <c r="CJ9" i="2"/>
  <c r="CQ9" i="2"/>
  <c r="CL10" i="2"/>
  <c r="CJ10" i="2"/>
  <c r="CQ10" i="2"/>
  <c r="CS5" i="2"/>
  <c r="CX5" i="2"/>
  <c r="CL5" i="2"/>
  <c r="CJ5" i="2"/>
  <c r="CQ5" i="2"/>
  <c r="CK6" i="2"/>
  <c r="CP6" i="2"/>
  <c r="CL6" i="2"/>
  <c r="CJ6" i="2"/>
  <c r="CQ6" i="2"/>
  <c r="CP7" i="2"/>
  <c r="CK7" i="2"/>
  <c r="CL7" i="2"/>
  <c r="CJ7" i="2"/>
  <c r="CQ7" i="2"/>
  <c r="CY35" i="2"/>
  <c r="CT35" i="2"/>
  <c r="CK27" i="2"/>
  <c r="CP27" i="2"/>
  <c r="CR27" i="2" s="1"/>
  <c r="CP25" i="2"/>
  <c r="CR25" i="2" s="1"/>
  <c r="CK25" i="2"/>
  <c r="CL24" i="2"/>
  <c r="CQ24" i="2"/>
  <c r="CR24" i="2" s="1"/>
  <c r="CJ35" i="2"/>
  <c r="CK35" i="2"/>
  <c r="CP35" i="2"/>
  <c r="CP36" i="2"/>
  <c r="CR36" i="2" s="1"/>
  <c r="CK36" i="2"/>
  <c r="CJ36" i="2"/>
  <c r="CL37" i="2"/>
  <c r="CQ37" i="2"/>
  <c r="CT36" i="2"/>
  <c r="CY36" i="2"/>
  <c r="CS24" i="2"/>
  <c r="CX24" i="2"/>
  <c r="DN33" i="2"/>
  <c r="DI33" i="2"/>
  <c r="CT27" i="2"/>
  <c r="CY27" i="2"/>
  <c r="CK26" i="2"/>
  <c r="CP26" i="2"/>
  <c r="CT25" i="2"/>
  <c r="CY25" i="2"/>
  <c r="CT32" i="2"/>
  <c r="CY32" i="2"/>
  <c r="CL29" i="2"/>
  <c r="CQ29" i="2"/>
  <c r="CS23" i="2"/>
  <c r="CX23" i="2"/>
  <c r="CJ26" i="2"/>
  <c r="CL26" i="2"/>
  <c r="CQ26" i="2"/>
  <c r="CP34" i="2"/>
  <c r="CR34" i="2" s="1"/>
  <c r="CK34" i="2"/>
  <c r="CX28" i="2"/>
  <c r="CS28" i="2"/>
  <c r="CS37" i="2"/>
  <c r="CX37" i="2"/>
  <c r="CK32" i="2"/>
  <c r="CP32" i="2"/>
  <c r="CJ32" i="2"/>
  <c r="CT28" i="2"/>
  <c r="CR28" i="2"/>
  <c r="CY28" i="2"/>
  <c r="DG33" i="2"/>
  <c r="DB33" i="2"/>
  <c r="CZ33" i="2"/>
  <c r="CT23" i="2"/>
  <c r="CR23" i="2"/>
  <c r="CY23" i="2"/>
  <c r="CT34" i="2"/>
  <c r="CY34" i="2"/>
  <c r="CP29" i="2"/>
  <c r="CK29" i="2"/>
  <c r="CJ29" i="2"/>
  <c r="W12" i="3"/>
  <c r="DP20" i="2" l="1"/>
  <c r="DR20" i="2"/>
  <c r="DP19" i="2"/>
  <c r="DR19" i="2"/>
  <c r="DP15" i="2"/>
  <c r="DR15" i="2"/>
  <c r="DH17" i="2"/>
  <c r="DJ17" i="2"/>
  <c r="DO17" i="2"/>
  <c r="DP16" i="2"/>
  <c r="DR16" i="2"/>
  <c r="DH21" i="2"/>
  <c r="DJ21" i="2"/>
  <c r="DO21" i="2"/>
  <c r="W10" i="3"/>
  <c r="W8" i="3"/>
  <c r="W9" i="3"/>
  <c r="W11" i="3"/>
  <c r="X12" i="3"/>
  <c r="X11" i="3"/>
  <c r="X8" i="3"/>
  <c r="X10" i="3"/>
  <c r="X9" i="3"/>
  <c r="DF11" i="2"/>
  <c r="DA11" i="2"/>
  <c r="DB11" i="2"/>
  <c r="CZ11" i="2"/>
  <c r="DG11" i="2"/>
  <c r="CY13" i="2"/>
  <c r="CT13" i="2"/>
  <c r="CR13" i="2"/>
  <c r="DG12" i="2"/>
  <c r="DB12" i="2"/>
  <c r="CZ12" i="2"/>
  <c r="DF12" i="2"/>
  <c r="DA12" i="2"/>
  <c r="CX13" i="2"/>
  <c r="CS13" i="2"/>
  <c r="CS31" i="2"/>
  <c r="CX31" i="2"/>
  <c r="CT31" i="2"/>
  <c r="CR31" i="2"/>
  <c r="CY31" i="2"/>
  <c r="DA30" i="2"/>
  <c r="DF30" i="2"/>
  <c r="CT30" i="2"/>
  <c r="CR30" i="2"/>
  <c r="CY30" i="2"/>
  <c r="DF8" i="2"/>
  <c r="DA8" i="2"/>
  <c r="DI9" i="2"/>
  <c r="DN9" i="2"/>
  <c r="CT9" i="2"/>
  <c r="CR9" i="2"/>
  <c r="CY9" i="2"/>
  <c r="CT8" i="2"/>
  <c r="CR8" i="2"/>
  <c r="CY8" i="2"/>
  <c r="CT10" i="2"/>
  <c r="CR10" i="2"/>
  <c r="CY10" i="2"/>
  <c r="CT5" i="2"/>
  <c r="CR5" i="2"/>
  <c r="CY5" i="2"/>
  <c r="DA5" i="2"/>
  <c r="DF5" i="2"/>
  <c r="CT6" i="2"/>
  <c r="CR6" i="2"/>
  <c r="CY6" i="2"/>
  <c r="CS6" i="2"/>
  <c r="CX6" i="2"/>
  <c r="CT7" i="2"/>
  <c r="CR7" i="2"/>
  <c r="CY7" i="2"/>
  <c r="CX7" i="2"/>
  <c r="CS7" i="2"/>
  <c r="DB35" i="2"/>
  <c r="DG35" i="2"/>
  <c r="CX27" i="2"/>
  <c r="CZ27" i="2" s="1"/>
  <c r="CS27" i="2"/>
  <c r="CX25" i="2"/>
  <c r="CZ25" i="2" s="1"/>
  <c r="CS25" i="2"/>
  <c r="CT24" i="2"/>
  <c r="CY24" i="2"/>
  <c r="CZ24" i="2" s="1"/>
  <c r="DA24" i="2"/>
  <c r="DF24" i="2"/>
  <c r="DB32" i="2"/>
  <c r="DG32" i="2"/>
  <c r="CT37" i="2"/>
  <c r="CY37" i="2"/>
  <c r="CR37" i="2"/>
  <c r="DB36" i="2"/>
  <c r="DG36" i="2"/>
  <c r="CX36" i="2"/>
  <c r="CZ36" i="2" s="1"/>
  <c r="CS36" i="2"/>
  <c r="CT29" i="2"/>
  <c r="CY29" i="2"/>
  <c r="CS26" i="2"/>
  <c r="CX26" i="2"/>
  <c r="CR35" i="2"/>
  <c r="CX35" i="2"/>
  <c r="CS35" i="2"/>
  <c r="DG25" i="2"/>
  <c r="DB25" i="2"/>
  <c r="DB27" i="2"/>
  <c r="DG27" i="2"/>
  <c r="DQ33" i="2"/>
  <c r="DB34" i="2"/>
  <c r="DG34" i="2"/>
  <c r="DA23" i="2"/>
  <c r="DF23" i="2"/>
  <c r="CS29" i="2"/>
  <c r="CX29" i="2"/>
  <c r="CR29" i="2"/>
  <c r="DO33" i="2"/>
  <c r="DH33" i="2"/>
  <c r="DJ33" i="2"/>
  <c r="CS32" i="2"/>
  <c r="CX32" i="2"/>
  <c r="CR32" i="2"/>
  <c r="CX34" i="2"/>
  <c r="CS34" i="2"/>
  <c r="DB28" i="2"/>
  <c r="DG28" i="2"/>
  <c r="CZ28" i="2"/>
  <c r="DB23" i="2"/>
  <c r="CZ23" i="2"/>
  <c r="DG23" i="2"/>
  <c r="CR26" i="2"/>
  <c r="CT26" i="2"/>
  <c r="CY26" i="2"/>
  <c r="DA37" i="2"/>
  <c r="DF37" i="2"/>
  <c r="DF28" i="2"/>
  <c r="DA28" i="2"/>
  <c r="Y12" i="3"/>
  <c r="DR17" i="2" l="1"/>
  <c r="DP17" i="2"/>
  <c r="DP21" i="2"/>
  <c r="DR21" i="2"/>
  <c r="Y8" i="3"/>
  <c r="Y11" i="3"/>
  <c r="Y9" i="3"/>
  <c r="Y10" i="3"/>
  <c r="Z11" i="3"/>
  <c r="Z8" i="3"/>
  <c r="Z10" i="3"/>
  <c r="Z12" i="3"/>
  <c r="Z9" i="3"/>
  <c r="DH11" i="2"/>
  <c r="DO11" i="2"/>
  <c r="DJ11" i="2"/>
  <c r="DF13" i="2"/>
  <c r="DA13" i="2"/>
  <c r="DN12" i="2"/>
  <c r="DI12" i="2"/>
  <c r="DO12" i="2"/>
  <c r="DJ12" i="2"/>
  <c r="DH12" i="2"/>
  <c r="DB13" i="2"/>
  <c r="CZ13" i="2"/>
  <c r="DG13" i="2"/>
  <c r="DN11" i="2"/>
  <c r="DI11" i="2"/>
  <c r="DB31" i="2"/>
  <c r="CZ31" i="2"/>
  <c r="DG31" i="2"/>
  <c r="DA31" i="2"/>
  <c r="DF31" i="2"/>
  <c r="DB30" i="2"/>
  <c r="CZ30" i="2"/>
  <c r="DG30" i="2"/>
  <c r="DN30" i="2"/>
  <c r="DI30" i="2"/>
  <c r="DB10" i="2"/>
  <c r="CZ10" i="2"/>
  <c r="DG10" i="2"/>
  <c r="DG9" i="2"/>
  <c r="DB9" i="2"/>
  <c r="CZ9" i="2"/>
  <c r="DQ9" i="2"/>
  <c r="DG8" i="2"/>
  <c r="DB8" i="2"/>
  <c r="CZ8" i="2"/>
  <c r="DN8" i="2"/>
  <c r="DI8" i="2"/>
  <c r="DB5" i="2"/>
  <c r="CZ5" i="2"/>
  <c r="DG5" i="2"/>
  <c r="DI5" i="2"/>
  <c r="DN5" i="2"/>
  <c r="DA6" i="2"/>
  <c r="DF6" i="2"/>
  <c r="DB6" i="2"/>
  <c r="CZ6" i="2"/>
  <c r="DG6" i="2"/>
  <c r="DF7" i="2"/>
  <c r="DA7" i="2"/>
  <c r="DB7" i="2"/>
  <c r="DG7" i="2"/>
  <c r="CZ7" i="2"/>
  <c r="DO35" i="2"/>
  <c r="DJ35" i="2"/>
  <c r="DF27" i="2"/>
  <c r="DH27" i="2" s="1"/>
  <c r="DA27" i="2"/>
  <c r="DG24" i="2"/>
  <c r="DH24" i="2" s="1"/>
  <c r="DB24" i="2"/>
  <c r="DA25" i="2"/>
  <c r="DF25" i="2"/>
  <c r="DH25" i="2" s="1"/>
  <c r="DJ36" i="2"/>
  <c r="DO36" i="2"/>
  <c r="DB37" i="2"/>
  <c r="DG37" i="2"/>
  <c r="DH37" i="2" s="1"/>
  <c r="DB29" i="2"/>
  <c r="DG29" i="2"/>
  <c r="DO27" i="2"/>
  <c r="DJ27" i="2"/>
  <c r="DJ25" i="2"/>
  <c r="DO25" i="2"/>
  <c r="CZ35" i="2"/>
  <c r="DA35" i="2"/>
  <c r="DF35" i="2"/>
  <c r="DF36" i="2"/>
  <c r="DH36" i="2" s="1"/>
  <c r="DA36" i="2"/>
  <c r="DI24" i="2"/>
  <c r="DN24" i="2"/>
  <c r="DA26" i="2"/>
  <c r="DF26" i="2"/>
  <c r="DO32" i="2"/>
  <c r="DJ32" i="2"/>
  <c r="CZ37" i="2"/>
  <c r="DN23" i="2"/>
  <c r="DI23" i="2"/>
  <c r="CZ26" i="2"/>
  <c r="DB26" i="2"/>
  <c r="DG26" i="2"/>
  <c r="DO28" i="2"/>
  <c r="DJ28" i="2"/>
  <c r="DH28" i="2"/>
  <c r="DR33" i="2"/>
  <c r="DP33" i="2"/>
  <c r="DF34" i="2"/>
  <c r="DH34" i="2" s="1"/>
  <c r="DA34" i="2"/>
  <c r="DN28" i="2"/>
  <c r="DI28" i="2"/>
  <c r="DA32" i="2"/>
  <c r="DF32" i="2"/>
  <c r="CZ32" i="2"/>
  <c r="DF29" i="2"/>
  <c r="DA29" i="2"/>
  <c r="CZ29" i="2"/>
  <c r="CZ34" i="2"/>
  <c r="DJ23" i="2"/>
  <c r="DH23" i="2"/>
  <c r="DO23" i="2"/>
  <c r="DO34" i="2"/>
  <c r="DJ34" i="2"/>
  <c r="DN37" i="2"/>
  <c r="DI37" i="2"/>
  <c r="AA12" i="3"/>
  <c r="AA8" i="3" l="1"/>
  <c r="AA11" i="3"/>
  <c r="AA10" i="3"/>
  <c r="AA9" i="3"/>
  <c r="AB8" i="3"/>
  <c r="AB12" i="3"/>
  <c r="AB11" i="3"/>
  <c r="AB10" i="3"/>
  <c r="AB9" i="3"/>
  <c r="DN13" i="2"/>
  <c r="DI13" i="2"/>
  <c r="DR11" i="2"/>
  <c r="DP11" i="2"/>
  <c r="DQ11" i="2"/>
  <c r="DO13" i="2"/>
  <c r="DJ13" i="2"/>
  <c r="DH13" i="2"/>
  <c r="DQ12" i="2"/>
  <c r="DR12" i="2"/>
  <c r="DP12" i="2"/>
  <c r="DI31" i="2"/>
  <c r="DN31" i="2"/>
  <c r="DJ31" i="2"/>
  <c r="DH31" i="2"/>
  <c r="DO31" i="2"/>
  <c r="DQ30" i="2"/>
  <c r="DJ30" i="2"/>
  <c r="DH30" i="2"/>
  <c r="DO30" i="2"/>
  <c r="DQ8" i="2"/>
  <c r="DJ10" i="2"/>
  <c r="DO10" i="2"/>
  <c r="DH10" i="2"/>
  <c r="DJ9" i="2"/>
  <c r="DO9" i="2"/>
  <c r="DH9" i="2"/>
  <c r="DO8" i="2"/>
  <c r="DJ8" i="2"/>
  <c r="DH8" i="2"/>
  <c r="DQ5" i="2"/>
  <c r="DJ5" i="2"/>
  <c r="DH5" i="2"/>
  <c r="DO5" i="2"/>
  <c r="DI6" i="2"/>
  <c r="DN6" i="2"/>
  <c r="DJ6" i="2"/>
  <c r="DH6" i="2"/>
  <c r="DO6" i="2"/>
  <c r="DO7" i="2"/>
  <c r="DJ7" i="2"/>
  <c r="DH7" i="2"/>
  <c r="DN7" i="2"/>
  <c r="DI7" i="2"/>
  <c r="DR35" i="2"/>
  <c r="DI27" i="2"/>
  <c r="DN27" i="2"/>
  <c r="DP27" i="2" s="1"/>
  <c r="DJ24" i="2"/>
  <c r="DO24" i="2"/>
  <c r="DP24" i="2" s="1"/>
  <c r="DN25" i="2"/>
  <c r="DP25" i="2" s="1"/>
  <c r="DI25" i="2"/>
  <c r="DR32" i="2"/>
  <c r="DR27" i="2"/>
  <c r="DO37" i="2"/>
  <c r="DP37" i="2" s="1"/>
  <c r="DJ37" i="2"/>
  <c r="DJ29" i="2"/>
  <c r="DO29" i="2"/>
  <c r="DR36" i="2"/>
  <c r="DQ24" i="2"/>
  <c r="DN36" i="2"/>
  <c r="DP36" i="2" s="1"/>
  <c r="DI36" i="2"/>
  <c r="DI26" i="2"/>
  <c r="DN26" i="2"/>
  <c r="DR25" i="2"/>
  <c r="DI35" i="2"/>
  <c r="DN35" i="2"/>
  <c r="DH35" i="2"/>
  <c r="DP28" i="2"/>
  <c r="DR28" i="2"/>
  <c r="DR23" i="2"/>
  <c r="DP23" i="2"/>
  <c r="DR34" i="2"/>
  <c r="DI32" i="2"/>
  <c r="DN32" i="2"/>
  <c r="DH32" i="2"/>
  <c r="DJ26" i="2"/>
  <c r="DO26" i="2"/>
  <c r="DH26" i="2"/>
  <c r="DQ23" i="2"/>
  <c r="DQ37" i="2"/>
  <c r="DN34" i="2"/>
  <c r="DP34" i="2" s="1"/>
  <c r="DI34" i="2"/>
  <c r="DN29" i="2"/>
  <c r="DI29" i="2"/>
  <c r="DH29" i="2"/>
  <c r="DQ28" i="2"/>
  <c r="AC12" i="3"/>
  <c r="AC8" i="3" l="1"/>
  <c r="AC11" i="3"/>
  <c r="AC10" i="3"/>
  <c r="AC9" i="3"/>
  <c r="AD8" i="3"/>
  <c r="AD11" i="3"/>
  <c r="AD10" i="3"/>
  <c r="AD12" i="3"/>
  <c r="AD9" i="3"/>
  <c r="DR13" i="2"/>
  <c r="DP13" i="2"/>
  <c r="DQ13" i="2"/>
  <c r="DR31" i="2"/>
  <c r="DP31" i="2"/>
  <c r="DQ31" i="2"/>
  <c r="DR30" i="2"/>
  <c r="DP30" i="2"/>
  <c r="DR10" i="2"/>
  <c r="DP10" i="2"/>
  <c r="DR8" i="2"/>
  <c r="DP8" i="2"/>
  <c r="DR9" i="2"/>
  <c r="DP9" i="2"/>
  <c r="DR5" i="2"/>
  <c r="DP5" i="2"/>
  <c r="DQ6" i="2"/>
  <c r="DR6" i="2"/>
  <c r="DP6" i="2"/>
  <c r="DQ7" i="2"/>
  <c r="DR7" i="2"/>
  <c r="DP7" i="2"/>
  <c r="DQ27" i="2"/>
  <c r="DR24" i="2"/>
  <c r="DQ25" i="2"/>
  <c r="DQ26" i="2"/>
  <c r="DR29" i="2"/>
  <c r="DP35" i="2"/>
  <c r="DQ35" i="2"/>
  <c r="DQ36" i="2"/>
  <c r="DR37" i="2"/>
  <c r="DQ29" i="2"/>
  <c r="DP29" i="2"/>
  <c r="DQ34" i="2"/>
  <c r="DQ32" i="2"/>
  <c r="DP32" i="2"/>
  <c r="DR26" i="2"/>
  <c r="DP26" i="2"/>
  <c r="AE12" i="3" l="1"/>
  <c r="AE9" i="3"/>
  <c r="AE10" i="3"/>
  <c r="AE8" i="3"/>
  <c r="AE11" i="3"/>
  <c r="AF8" i="3"/>
  <c r="AF11" i="3"/>
  <c r="AF10" i="3"/>
  <c r="AF12" i="3"/>
  <c r="AF9" i="3"/>
</calcChain>
</file>

<file path=xl/comments1.xml><?xml version="1.0" encoding="utf-8"?>
<comments xmlns="http://schemas.openxmlformats.org/spreadsheetml/2006/main">
  <authors>
    <author>SEO JOON YOUN</author>
  </authors>
  <commentList>
    <comment ref="A8" authorId="0" shapeId="0">
      <text>
        <r>
          <rPr>
            <b/>
            <sz val="15"/>
            <color indexed="81"/>
            <rFont val="Tahoma"/>
            <family val="2"/>
          </rPr>
          <t>2</t>
        </r>
        <r>
          <rPr>
            <b/>
            <sz val="15"/>
            <color indexed="81"/>
            <rFont val="돋움"/>
            <family val="3"/>
            <charset val="129"/>
          </rPr>
          <t>번</t>
        </r>
        <r>
          <rPr>
            <b/>
            <sz val="15"/>
            <color indexed="81"/>
            <rFont val="Tahoma"/>
            <family val="2"/>
          </rPr>
          <t xml:space="preserve"> WBS </t>
        </r>
        <r>
          <rPr>
            <b/>
            <sz val="15"/>
            <color indexed="81"/>
            <rFont val="돋움"/>
            <family val="3"/>
            <charset val="129"/>
          </rPr>
          <t>개발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시트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<sst xmlns="http://schemas.openxmlformats.org/spreadsheetml/2006/main" count="330" uniqueCount="122">
  <si>
    <t>목표량</t>
    <phoneticPr fontId="3" type="noConversion"/>
  </si>
  <si>
    <t>목표량(합)</t>
    <phoneticPr fontId="3" type="noConversion"/>
  </si>
  <si>
    <t>누적
실적</t>
  </si>
  <si>
    <t>누적
진척율(%)</t>
  </si>
  <si>
    <t>실적</t>
    <phoneticPr fontId="3" type="noConversion"/>
  </si>
  <si>
    <t>진척율(%)</t>
  </si>
  <si>
    <t>누적(목)</t>
    <phoneticPr fontId="4" type="noConversion"/>
  </si>
  <si>
    <t>누적(실)</t>
    <phoneticPr fontId="4" type="noConversion"/>
  </si>
  <si>
    <t>누적(차)</t>
    <phoneticPr fontId="4" type="noConversion"/>
  </si>
  <si>
    <t>목표율(%)</t>
    <phoneticPr fontId="4" type="noConversion"/>
  </si>
  <si>
    <t>누적율(%)</t>
  </si>
  <si>
    <t>누적진척율(가중치%)</t>
    <phoneticPr fontId="3" type="noConversion"/>
  </si>
  <si>
    <t>대분류</t>
    <phoneticPr fontId="3" type="noConversion"/>
  </si>
  <si>
    <t>중분류</t>
    <phoneticPr fontId="3" type="noConversion"/>
  </si>
  <si>
    <t>설계</t>
    <phoneticPr fontId="3" type="noConversion"/>
  </si>
  <si>
    <t>테스트</t>
    <phoneticPr fontId="3" type="noConversion"/>
  </si>
  <si>
    <t>구현</t>
    <phoneticPr fontId="3" type="noConversion"/>
  </si>
  <si>
    <t>-</t>
    <phoneticPr fontId="3" type="noConversion"/>
  </si>
  <si>
    <t>W1</t>
    <phoneticPr fontId="3" type="noConversion"/>
  </si>
  <si>
    <t>W2</t>
    <phoneticPr fontId="3" type="noConversion"/>
  </si>
  <si>
    <t>W3</t>
    <phoneticPr fontId="3" type="noConversion"/>
  </si>
  <si>
    <t>W4</t>
    <phoneticPr fontId="3" type="noConversion"/>
  </si>
  <si>
    <t>W5</t>
    <phoneticPr fontId="3" type="noConversion"/>
  </si>
  <si>
    <t>구분</t>
    <phoneticPr fontId="3" type="noConversion"/>
  </si>
  <si>
    <t>착수보고</t>
    <phoneticPr fontId="3" type="noConversion"/>
  </si>
  <si>
    <t>중간보고</t>
    <phoneticPr fontId="3" type="noConversion"/>
  </si>
  <si>
    <t>단계별 보고</t>
    <phoneticPr fontId="3" type="noConversion"/>
  </si>
  <si>
    <t>정기보고</t>
    <phoneticPr fontId="3" type="noConversion"/>
  </si>
  <si>
    <t>주간보고</t>
    <phoneticPr fontId="3" type="noConversion"/>
  </si>
  <si>
    <t>주관기관
보고일정</t>
    <phoneticPr fontId="3" type="noConversion"/>
  </si>
  <si>
    <t>비고</t>
    <phoneticPr fontId="3" type="noConversion"/>
  </si>
  <si>
    <t>시스템
기능별
개발 일정</t>
    <phoneticPr fontId="3" type="noConversion"/>
  </si>
  <si>
    <t>인터뷰
일정수립</t>
    <phoneticPr fontId="3" type="noConversion"/>
  </si>
  <si>
    <t>참여대학별
인터뷰진행</t>
    <phoneticPr fontId="3" type="noConversion"/>
  </si>
  <si>
    <t>월별</t>
    <phoneticPr fontId="3" type="noConversion"/>
  </si>
  <si>
    <t>주별</t>
    <phoneticPr fontId="3" type="noConversion"/>
  </si>
  <si>
    <t>일별</t>
    <phoneticPr fontId="3" type="noConversion"/>
  </si>
  <si>
    <t>* 기능별 개발 세부일정은
WBS에 기반한 일정수립</t>
    <phoneticPr fontId="3" type="noConversion"/>
  </si>
  <si>
    <t>기간 대비
개발우선순위</t>
    <phoneticPr fontId="3" type="noConversion"/>
  </si>
  <si>
    <t>과업 Task</t>
    <phoneticPr fontId="3" type="noConversion"/>
  </si>
  <si>
    <t>기능별 분류</t>
    <phoneticPr fontId="3" type="noConversion"/>
  </si>
  <si>
    <t>UI/UX 설계</t>
    <phoneticPr fontId="3" type="noConversion"/>
  </si>
  <si>
    <t>사업명</t>
    <phoneticPr fontId="3" type="noConversion"/>
  </si>
  <si>
    <t>계획/실적</t>
    <phoneticPr fontId="3" type="noConversion"/>
  </si>
  <si>
    <t>계획(누적)</t>
    <phoneticPr fontId="3" type="noConversion"/>
  </si>
  <si>
    <t>실적(누적)</t>
    <phoneticPr fontId="3" type="noConversion"/>
  </si>
  <si>
    <t>부동산 메타버스 플랫폼 PoC</t>
    <phoneticPr fontId="3" type="noConversion"/>
  </si>
  <si>
    <t xml:space="preserve"> </t>
    <phoneticPr fontId="3" type="noConversion"/>
  </si>
  <si>
    <t>8월4주(8/26~)</t>
    <phoneticPr fontId="3" type="noConversion"/>
  </si>
  <si>
    <t>9월1주(9/02~)</t>
    <phoneticPr fontId="3" type="noConversion"/>
  </si>
  <si>
    <t>9월2주(9/09~)</t>
    <phoneticPr fontId="3" type="noConversion"/>
  </si>
  <si>
    <t>부동산 플랫폼 PoC WBS</t>
    <phoneticPr fontId="3" type="noConversion"/>
  </si>
  <si>
    <t>모델링</t>
    <phoneticPr fontId="4" type="noConversion"/>
  </si>
  <si>
    <t>VR메타버스</t>
    <phoneticPr fontId="3" type="noConversion"/>
  </si>
  <si>
    <t>가상공간 커뮤니케이션</t>
    <phoneticPr fontId="3" type="noConversion"/>
  </si>
  <si>
    <t>건축정보데이터</t>
    <phoneticPr fontId="3" type="noConversion"/>
  </si>
  <si>
    <t>건축물 모델링</t>
    <phoneticPr fontId="3" type="noConversion"/>
  </si>
  <si>
    <t>레벨디자인 모델링
(지형 및 도시 인프라)</t>
    <phoneticPr fontId="3" type="noConversion"/>
  </si>
  <si>
    <t>커스터마이징 모델링</t>
    <phoneticPr fontId="3" type="noConversion"/>
  </si>
  <si>
    <t>도시탐색</t>
    <phoneticPr fontId="3" type="noConversion"/>
  </si>
  <si>
    <t>아바타속도조절</t>
    <phoneticPr fontId="3" type="noConversion"/>
  </si>
  <si>
    <t>가상공간 텔레포트</t>
    <phoneticPr fontId="3" type="noConversion"/>
  </si>
  <si>
    <t>채팅기능</t>
    <phoneticPr fontId="3" type="noConversion"/>
  </si>
  <si>
    <t>음성대화기능</t>
    <phoneticPr fontId="3" type="noConversion"/>
  </si>
  <si>
    <t>UI 정보연동</t>
    <phoneticPr fontId="3" type="noConversion"/>
  </si>
  <si>
    <t>데이터 연동을 통한
건축시뮬레이션</t>
    <phoneticPr fontId="3" type="noConversion"/>
  </si>
  <si>
    <t>데이터 수집</t>
    <phoneticPr fontId="3" type="noConversion"/>
  </si>
  <si>
    <t>데이터 정규화</t>
    <phoneticPr fontId="3" type="noConversion"/>
  </si>
  <si>
    <t>데이터 연동</t>
    <phoneticPr fontId="3" type="noConversion"/>
  </si>
  <si>
    <t>UI 설계 및
연동 데이터 시뮬레이션</t>
    <phoneticPr fontId="3" type="noConversion"/>
  </si>
  <si>
    <t>지적도 기반 지형모델링</t>
    <phoneticPr fontId="3" type="noConversion"/>
  </si>
  <si>
    <t>지적도 기반 건축물 모델링</t>
    <phoneticPr fontId="3" type="noConversion"/>
  </si>
  <si>
    <t>사용자 커스터마이징 모델링</t>
    <phoneticPr fontId="3" type="noConversion"/>
  </si>
  <si>
    <t>건물위치 및 인터렉티브 
기즈모 배치</t>
    <phoneticPr fontId="3" type="noConversion"/>
  </si>
  <si>
    <t>아바타 속도조절</t>
    <phoneticPr fontId="3" type="noConversion"/>
  </si>
  <si>
    <t>GIS지도기반 POI 텔레포트</t>
    <phoneticPr fontId="3" type="noConversion"/>
  </si>
  <si>
    <t>포톤서버를 활용한 채팅개발</t>
    <phoneticPr fontId="3" type="noConversion"/>
  </si>
  <si>
    <t>가상공간 음성대화개발</t>
    <phoneticPr fontId="3" type="noConversion"/>
  </si>
  <si>
    <t xml:space="preserve">국토교통부 및 
각종 데이터 수집 및
데이터정규화 </t>
    <phoneticPr fontId="3" type="noConversion"/>
  </si>
  <si>
    <t>토지,지적,건축개발등 각종정보</t>
    <phoneticPr fontId="3" type="noConversion"/>
  </si>
  <si>
    <t>CVS, XML,SHP등 데이터를 
UI 정보창에 연동</t>
    <phoneticPr fontId="3" type="noConversion"/>
  </si>
  <si>
    <t>UI정보기반 건축시뮬레이션</t>
    <phoneticPr fontId="3" type="noConversion"/>
  </si>
  <si>
    <t>8월 (M)</t>
    <phoneticPr fontId="3" type="noConversion"/>
  </si>
  <si>
    <t>10월 (M+2)</t>
    <phoneticPr fontId="3" type="noConversion"/>
  </si>
  <si>
    <t>11월 (M+3)</t>
    <phoneticPr fontId="3" type="noConversion"/>
  </si>
  <si>
    <t>인터뷰진행</t>
    <phoneticPr fontId="3" type="noConversion"/>
  </si>
  <si>
    <t>인터뷰진행</t>
    <phoneticPr fontId="3" type="noConversion"/>
  </si>
  <si>
    <t>인터뷰진행</t>
    <phoneticPr fontId="3" type="noConversion"/>
  </si>
  <si>
    <t>모델링</t>
    <phoneticPr fontId="3" type="noConversion"/>
  </si>
  <si>
    <t>VR메타버스</t>
    <phoneticPr fontId="3" type="noConversion"/>
  </si>
  <si>
    <t>가상공간
커뮤니케이션</t>
    <phoneticPr fontId="3" type="noConversion"/>
  </si>
  <si>
    <t>건축정보데이터</t>
    <phoneticPr fontId="3" type="noConversion"/>
  </si>
  <si>
    <t>UI설계 및
연동데이터 
시뮬레이션</t>
    <phoneticPr fontId="3" type="noConversion"/>
  </si>
  <si>
    <t>2023-08-05~</t>
    <phoneticPr fontId="3" type="noConversion"/>
  </si>
  <si>
    <t>2023-08-12~</t>
    <phoneticPr fontId="3" type="noConversion"/>
  </si>
  <si>
    <t>2023-08-19~</t>
    <phoneticPr fontId="3" type="noConversion"/>
  </si>
  <si>
    <t>9월 (M+1)</t>
    <phoneticPr fontId="3" type="noConversion"/>
  </si>
  <si>
    <t>2023-09-02~</t>
    <phoneticPr fontId="3" type="noConversion"/>
  </si>
  <si>
    <t>2023-09-09~</t>
    <phoneticPr fontId="3" type="noConversion"/>
  </si>
  <si>
    <t>2023-09-19~</t>
    <phoneticPr fontId="3" type="noConversion"/>
  </si>
  <si>
    <t>2023-09-30~</t>
    <phoneticPr fontId="3" type="noConversion"/>
  </si>
  <si>
    <t>2023-10-07~</t>
    <phoneticPr fontId="3" type="noConversion"/>
  </si>
  <si>
    <t>2023-10-14~</t>
    <phoneticPr fontId="3" type="noConversion"/>
  </si>
  <si>
    <t>2023-10-21~</t>
    <phoneticPr fontId="3" type="noConversion"/>
  </si>
  <si>
    <t>2024-10-28~</t>
    <phoneticPr fontId="3" type="noConversion"/>
  </si>
  <si>
    <t>2024-11-04~</t>
    <phoneticPr fontId="3" type="noConversion"/>
  </si>
  <si>
    <t>2024-11-11~</t>
    <phoneticPr fontId="3" type="noConversion"/>
  </si>
  <si>
    <t>202411-18~</t>
    <phoneticPr fontId="3" type="noConversion"/>
  </si>
  <si>
    <t>2024-11-25~</t>
    <phoneticPr fontId="3" type="noConversion"/>
  </si>
  <si>
    <t>8월3주(8/19~)</t>
    <phoneticPr fontId="3" type="noConversion"/>
  </si>
  <si>
    <t>9월3주(9/19~)</t>
    <phoneticPr fontId="3" type="noConversion"/>
  </si>
  <si>
    <t>9월4주(9/30~)</t>
    <phoneticPr fontId="3" type="noConversion"/>
  </si>
  <si>
    <t>10월1주(10/07~)</t>
    <phoneticPr fontId="3" type="noConversion"/>
  </si>
  <si>
    <t>10월2주(10/14~)</t>
    <phoneticPr fontId="3" type="noConversion"/>
  </si>
  <si>
    <t>10월3주(10/21~)</t>
    <phoneticPr fontId="3" type="noConversion"/>
  </si>
  <si>
    <t>10월4주(10/28~)</t>
    <phoneticPr fontId="3" type="noConversion"/>
  </si>
  <si>
    <t>11월1주(11/04~)</t>
    <phoneticPr fontId="3" type="noConversion"/>
  </si>
  <si>
    <t>11월2주(11/11~)</t>
    <phoneticPr fontId="3" type="noConversion"/>
  </si>
  <si>
    <t>11월3주(11/18~)</t>
    <phoneticPr fontId="3" type="noConversion"/>
  </si>
  <si>
    <t>11월4주(11/25~)</t>
    <phoneticPr fontId="3" type="noConversion"/>
  </si>
  <si>
    <t>* 요구사항 인터뷰
* 건축법관련 데이터 인터뷰
* 기타 요구사항 인터뷰</t>
    <phoneticPr fontId="3" type="noConversion"/>
  </si>
  <si>
    <t>* PoC 마감일에
맞추어 기능 테스트기간 확보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</si>
</sst>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mm&quot;월&quot;\ dd&quot;일&quot;"/>
    <numFmt numFmtId="177" formatCode="0.0%"/>
    <numFmt numFmtId="178" formatCode="_-* #,##0_-;\-* #,##0_-;_-* &quot;-&quot;??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5"/>
      <color theme="0"/>
      <name val="KoPub돋움체 Bold"/>
      <family val="3"/>
      <charset val="129"/>
    </font>
    <font>
      <sz val="15"/>
      <color theme="1"/>
      <name val="KoPub돋움체 Bold"/>
      <family val="3"/>
      <charset val="129"/>
    </font>
    <font>
      <sz val="9"/>
      <color indexed="81"/>
      <name val="Tahoma"/>
      <family val="2"/>
    </font>
    <font>
      <b/>
      <sz val="15"/>
      <color indexed="81"/>
      <name val="Tahoma"/>
      <family val="2"/>
    </font>
    <font>
      <b/>
      <sz val="15"/>
      <color indexed="81"/>
      <name val="돋움"/>
      <family val="3"/>
      <charset val="129"/>
    </font>
    <font>
      <sz val="15"/>
      <name val="KoPub돋움체 Bold"/>
      <family val="3"/>
      <charset val="129"/>
    </font>
    <font>
      <b/>
      <sz val="16"/>
      <color theme="0"/>
      <name val="KoPub돋움체 Bold"/>
      <family val="1"/>
      <charset val="129"/>
    </font>
    <font>
      <b/>
      <sz val="16"/>
      <color theme="1"/>
      <name val="KoPub돋움체 Bold"/>
      <family val="1"/>
      <charset val="129"/>
    </font>
    <font>
      <sz val="11"/>
      <color theme="1"/>
      <name val="KoPub돋움체 Bold"/>
      <family val="1"/>
      <charset val="129"/>
    </font>
    <font>
      <b/>
      <sz val="14"/>
      <color theme="0"/>
      <name val="KoPub돋움체 Bold"/>
      <family val="1"/>
      <charset val="129"/>
    </font>
    <font>
      <sz val="11"/>
      <color theme="0"/>
      <name val="KoPub돋움체 Bold"/>
      <family val="1"/>
      <charset val="129"/>
    </font>
    <font>
      <b/>
      <sz val="11"/>
      <color theme="1"/>
      <name val="KoPub돋움체 Bold"/>
      <family val="1"/>
      <charset val="129"/>
    </font>
    <font>
      <b/>
      <sz val="11"/>
      <name val="KoPub돋움체 Bold"/>
      <family val="1"/>
      <charset val="129"/>
    </font>
    <font>
      <b/>
      <sz val="11"/>
      <color rgb="FF0070C0"/>
      <name val="KoPub돋움체 Bold"/>
      <family val="1"/>
      <charset val="129"/>
    </font>
    <font>
      <sz val="11"/>
      <color rgb="FFC00000"/>
      <name val="KoPub돋움체 Bold"/>
      <family val="1"/>
      <charset val="129"/>
    </font>
    <font>
      <sz val="11"/>
      <color theme="8"/>
      <name val="KoPub돋움체 Bold"/>
      <family val="1"/>
      <charset val="129"/>
    </font>
    <font>
      <sz val="11"/>
      <color rgb="FF0070C0"/>
      <name val="KoPub돋움체 Bold"/>
      <family val="1"/>
      <charset val="129"/>
    </font>
    <font>
      <sz val="11"/>
      <name val="KoPub돋움체 Bold"/>
      <family val="1"/>
      <charset val="129"/>
    </font>
    <font>
      <sz val="11"/>
      <color rgb="FFFF0000"/>
      <name val="KoPub돋움체 Bold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5" fillId="9" borderId="7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7" xfId="0" applyFont="1" applyBorder="1" applyAlignment="1">
      <alignment vertical="center" wrapText="1"/>
    </xf>
    <xf numFmtId="14" fontId="10" fillId="12" borderId="7" xfId="0" applyNumberFormat="1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 wrapText="1"/>
    </xf>
    <xf numFmtId="0" fontId="11" fillId="2" borderId="0" xfId="1" applyFont="1" applyFill="1" applyAlignment="1">
      <alignment vertical="center"/>
    </xf>
    <xf numFmtId="0" fontId="12" fillId="2" borderId="0" xfId="1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76" fontId="15" fillId="0" borderId="0" xfId="2" applyNumberFormat="1" applyFont="1" applyAlignment="1">
      <alignment horizontal="center" vertical="center"/>
    </xf>
    <xf numFmtId="9" fontId="15" fillId="0" borderId="0" xfId="3" applyFont="1" applyAlignment="1">
      <alignment horizontal="center" vertical="center"/>
    </xf>
    <xf numFmtId="41" fontId="15" fillId="0" borderId="0" xfId="4" applyFont="1" applyAlignment="1">
      <alignment horizontal="center" vertical="center"/>
    </xf>
    <xf numFmtId="9" fontId="13" fillId="0" borderId="0" xfId="3" applyFont="1" applyAlignment="1">
      <alignment horizontal="center" vertical="center"/>
    </xf>
    <xf numFmtId="0" fontId="13" fillId="0" borderId="0" xfId="2" applyFont="1">
      <alignment vertical="center"/>
    </xf>
    <xf numFmtId="0" fontId="13" fillId="5" borderId="7" xfId="2" applyFont="1" applyFill="1" applyBorder="1" applyAlignment="1">
      <alignment horizontal="center" vertical="center" shrinkToFit="1"/>
    </xf>
    <xf numFmtId="9" fontId="13" fillId="5" borderId="7" xfId="6" applyFont="1" applyFill="1" applyBorder="1" applyAlignment="1">
      <alignment horizontal="center" vertical="center"/>
    </xf>
    <xf numFmtId="0" fontId="22" fillId="5" borderId="7" xfId="2" applyFont="1" applyFill="1" applyBorder="1" applyAlignment="1">
      <alignment horizontal="center" vertical="center" wrapText="1"/>
    </xf>
    <xf numFmtId="0" fontId="22" fillId="5" borderId="7" xfId="2" applyFont="1" applyFill="1" applyBorder="1" applyAlignment="1">
      <alignment horizontal="center" vertical="center"/>
    </xf>
    <xf numFmtId="0" fontId="16" fillId="0" borderId="0" xfId="2" applyFont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9" fontId="13" fillId="0" borderId="0" xfId="3" applyFont="1" applyFill="1" applyBorder="1" applyAlignment="1">
      <alignment horizontal="center" vertical="center"/>
    </xf>
    <xf numFmtId="9" fontId="18" fillId="0" borderId="0" xfId="3" applyFont="1" applyFill="1" applyBorder="1" applyAlignment="1">
      <alignment horizontal="center" vertical="center"/>
    </xf>
    <xf numFmtId="9" fontId="19" fillId="0" borderId="0" xfId="3" applyFont="1" applyFill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178" fontId="13" fillId="0" borderId="0" xfId="2" applyNumberFormat="1" applyFont="1" applyAlignment="1">
      <alignment horizontal="center" vertical="center"/>
    </xf>
    <xf numFmtId="41" fontId="13" fillId="0" borderId="0" xfId="2" applyNumberFormat="1" applyFont="1" applyAlignment="1">
      <alignment horizontal="center" vertical="center"/>
    </xf>
    <xf numFmtId="177" fontId="13" fillId="0" borderId="0" xfId="2" applyNumberFormat="1" applyFont="1" applyAlignment="1">
      <alignment horizontal="center" vertical="center"/>
    </xf>
    <xf numFmtId="177" fontId="13" fillId="0" borderId="0" xfId="3" applyNumberFormat="1" applyFont="1" applyAlignment="1">
      <alignment horizontal="center" vertical="center"/>
    </xf>
    <xf numFmtId="0" fontId="18" fillId="4" borderId="7" xfId="2" applyFont="1" applyFill="1" applyBorder="1" applyAlignment="1">
      <alignment horizontal="center" vertical="center"/>
    </xf>
    <xf numFmtId="9" fontId="19" fillId="4" borderId="7" xfId="3" applyFont="1" applyFill="1" applyBorder="1" applyAlignment="1">
      <alignment horizontal="center" vertical="center"/>
    </xf>
    <xf numFmtId="9" fontId="13" fillId="4" borderId="7" xfId="3" applyFont="1" applyFill="1" applyBorder="1" applyAlignment="1">
      <alignment horizontal="center" vertical="center"/>
    </xf>
    <xf numFmtId="9" fontId="20" fillId="4" borderId="7" xfId="3" applyFont="1" applyFill="1" applyBorder="1" applyAlignment="1">
      <alignment horizontal="center" vertical="center"/>
    </xf>
    <xf numFmtId="177" fontId="13" fillId="4" borderId="7" xfId="3" applyNumberFormat="1" applyFont="1" applyFill="1" applyBorder="1" applyAlignment="1">
      <alignment horizontal="center" vertical="center"/>
    </xf>
    <xf numFmtId="0" fontId="18" fillId="3" borderId="7" xfId="2" applyFont="1" applyFill="1" applyBorder="1" applyAlignment="1">
      <alignment horizontal="center" vertical="center"/>
    </xf>
    <xf numFmtId="9" fontId="19" fillId="3" borderId="7" xfId="3" applyFont="1" applyFill="1" applyBorder="1" applyAlignment="1">
      <alignment horizontal="center" vertical="center"/>
    </xf>
    <xf numFmtId="9" fontId="13" fillId="3" borderId="7" xfId="3" applyFont="1" applyFill="1" applyBorder="1" applyAlignment="1">
      <alignment horizontal="center" vertical="center"/>
    </xf>
    <xf numFmtId="9" fontId="21" fillId="3" borderId="7" xfId="3" applyFont="1" applyFill="1" applyBorder="1" applyAlignment="1">
      <alignment horizontal="center" vertical="center"/>
    </xf>
    <xf numFmtId="9" fontId="20" fillId="3" borderId="7" xfId="3" applyFont="1" applyFill="1" applyBorder="1" applyAlignment="1">
      <alignment horizontal="center" vertical="center"/>
    </xf>
    <xf numFmtId="177" fontId="13" fillId="3" borderId="7" xfId="3" applyNumberFormat="1" applyFont="1" applyFill="1" applyBorder="1" applyAlignment="1">
      <alignment horizontal="center" vertical="center"/>
    </xf>
    <xf numFmtId="0" fontId="23" fillId="5" borderId="7" xfId="2" applyFont="1" applyFill="1" applyBorder="1" applyAlignment="1">
      <alignment horizontal="center" vertical="center"/>
    </xf>
    <xf numFmtId="177" fontId="13" fillId="13" borderId="7" xfId="6" applyNumberFormat="1" applyFont="1" applyFill="1" applyBorder="1" applyAlignment="1">
      <alignment horizontal="center" vertical="center"/>
    </xf>
    <xf numFmtId="9" fontId="13" fillId="13" borderId="7" xfId="6" applyFont="1" applyFill="1" applyBorder="1" applyAlignment="1">
      <alignment horizontal="center" vertical="center"/>
    </xf>
    <xf numFmtId="177" fontId="19" fillId="13" borderId="7" xfId="3" applyNumberFormat="1" applyFont="1" applyFill="1" applyBorder="1" applyAlignment="1">
      <alignment horizontal="center" vertical="center"/>
    </xf>
    <xf numFmtId="177" fontId="13" fillId="7" borderId="7" xfId="6" applyNumberFormat="1" applyFont="1" applyFill="1" applyBorder="1" applyAlignment="1">
      <alignment horizontal="center" vertical="center"/>
    </xf>
    <xf numFmtId="9" fontId="13" fillId="7" borderId="7" xfId="6" applyFont="1" applyFill="1" applyBorder="1" applyAlignment="1">
      <alignment horizontal="center" vertical="center"/>
    </xf>
    <xf numFmtId="177" fontId="19" fillId="7" borderId="7" xfId="3" applyNumberFormat="1" applyFont="1" applyFill="1" applyBorder="1" applyAlignment="1">
      <alignment horizontal="center" vertical="center"/>
    </xf>
    <xf numFmtId="0" fontId="13" fillId="4" borderId="11" xfId="2" applyFont="1" applyFill="1" applyBorder="1" applyAlignment="1">
      <alignment horizontal="center" vertical="center"/>
    </xf>
    <xf numFmtId="9" fontId="13" fillId="5" borderId="11" xfId="6" applyFont="1" applyFill="1" applyBorder="1" applyAlignment="1">
      <alignment horizontal="center" vertical="center"/>
    </xf>
    <xf numFmtId="9" fontId="13" fillId="6" borderId="4" xfId="3" applyFont="1" applyFill="1" applyBorder="1" applyAlignment="1">
      <alignment horizontal="center" vertical="center"/>
    </xf>
    <xf numFmtId="9" fontId="18" fillId="6" borderId="5" xfId="3" applyFont="1" applyFill="1" applyBorder="1" applyAlignment="1">
      <alignment horizontal="center" vertical="center"/>
    </xf>
    <xf numFmtId="9" fontId="19" fillId="6" borderId="5" xfId="3" applyFont="1" applyFill="1" applyBorder="1" applyAlignment="1">
      <alignment horizontal="center" vertical="center"/>
    </xf>
    <xf numFmtId="9" fontId="13" fillId="6" borderId="5" xfId="3" applyFont="1" applyFill="1" applyBorder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177" fontId="13" fillId="13" borderId="12" xfId="6" applyNumberFormat="1" applyFont="1" applyFill="1" applyBorder="1" applyAlignment="1">
      <alignment horizontal="center" vertical="center"/>
    </xf>
    <xf numFmtId="177" fontId="13" fillId="7" borderId="12" xfId="6" applyNumberFormat="1" applyFont="1" applyFill="1" applyBorder="1" applyAlignment="1">
      <alignment horizontal="center" vertical="center"/>
    </xf>
    <xf numFmtId="10" fontId="6" fillId="0" borderId="7" xfId="7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9" fontId="6" fillId="0" borderId="0" xfId="7" applyFont="1">
      <alignment vertical="center"/>
    </xf>
    <xf numFmtId="177" fontId="6" fillId="0" borderId="0" xfId="0" applyNumberFormat="1" applyFont="1">
      <alignment vertical="center"/>
    </xf>
    <xf numFmtId="0" fontId="5" fillId="9" borderId="7" xfId="0" applyFont="1" applyFill="1" applyBorder="1">
      <alignment vertical="center"/>
    </xf>
    <xf numFmtId="0" fontId="5" fillId="9" borderId="13" xfId="0" applyFont="1" applyFill="1" applyBorder="1">
      <alignment vertical="center"/>
    </xf>
    <xf numFmtId="10" fontId="6" fillId="14" borderId="7" xfId="7" applyNumberFormat="1" applyFont="1" applyFill="1" applyBorder="1" applyAlignment="1">
      <alignment horizontal="center" vertical="center"/>
    </xf>
    <xf numFmtId="10" fontId="6" fillId="14" borderId="7" xfId="0" applyNumberFormat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9" fontId="13" fillId="5" borderId="7" xfId="3" applyFont="1" applyFill="1" applyBorder="1" applyAlignment="1">
      <alignment horizontal="center" vertical="center"/>
    </xf>
    <xf numFmtId="9" fontId="13" fillId="13" borderId="7" xfId="7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 wrapText="1"/>
    </xf>
    <xf numFmtId="0" fontId="16" fillId="0" borderId="4" xfId="2" applyFont="1" applyBorder="1" applyAlignment="1">
      <alignment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14" fontId="10" fillId="12" borderId="13" xfId="0" applyNumberFormat="1" applyFont="1" applyFill="1" applyBorder="1" applyAlignment="1">
      <alignment horizontal="center" vertical="center"/>
    </xf>
    <xf numFmtId="14" fontId="10" fillId="12" borderId="9" xfId="0" applyNumberFormat="1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6" fillId="7" borderId="10" xfId="2" applyFont="1" applyFill="1" applyBorder="1" applyAlignment="1">
      <alignment horizontal="center" vertical="center" wrapText="1"/>
    </xf>
    <xf numFmtId="0" fontId="16" fillId="7" borderId="6" xfId="2" applyFont="1" applyFill="1" applyBorder="1" applyAlignment="1">
      <alignment horizontal="center" vertical="center" wrapText="1"/>
    </xf>
    <xf numFmtId="0" fontId="16" fillId="7" borderId="8" xfId="2" applyFont="1" applyFill="1" applyBorder="1" applyAlignment="1">
      <alignment horizontal="center" vertical="center" wrapText="1"/>
    </xf>
    <xf numFmtId="0" fontId="16" fillId="13" borderId="10" xfId="2" applyFont="1" applyFill="1" applyBorder="1" applyAlignment="1">
      <alignment horizontal="center" vertical="center" wrapText="1"/>
    </xf>
    <xf numFmtId="0" fontId="16" fillId="13" borderId="6" xfId="2" applyFont="1" applyFill="1" applyBorder="1" applyAlignment="1">
      <alignment horizontal="center" vertical="center" wrapText="1"/>
    </xf>
    <xf numFmtId="0" fontId="16" fillId="13" borderId="8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16" fillId="0" borderId="19" xfId="2" applyFont="1" applyBorder="1" applyAlignment="1">
      <alignment horizontal="center" vertical="center" wrapText="1"/>
    </xf>
    <xf numFmtId="0" fontId="16" fillId="0" borderId="20" xfId="2" applyFont="1" applyBorder="1" applyAlignment="1">
      <alignment horizontal="center" vertical="center" wrapText="1"/>
    </xf>
    <xf numFmtId="0" fontId="22" fillId="13" borderId="10" xfId="2" applyFont="1" applyFill="1" applyBorder="1" applyAlignment="1">
      <alignment horizontal="center" vertical="center" wrapText="1"/>
    </xf>
    <xf numFmtId="0" fontId="22" fillId="13" borderId="6" xfId="2" applyFont="1" applyFill="1" applyBorder="1" applyAlignment="1">
      <alignment horizontal="center" vertical="center"/>
    </xf>
    <xf numFmtId="0" fontId="22" fillId="13" borderId="8" xfId="2" applyFont="1" applyFill="1" applyBorder="1" applyAlignment="1">
      <alignment horizontal="center" vertical="center"/>
    </xf>
    <xf numFmtId="0" fontId="22" fillId="13" borderId="10" xfId="2" applyFont="1" applyFill="1" applyBorder="1" applyAlignment="1">
      <alignment horizontal="center" vertical="center"/>
    </xf>
    <xf numFmtId="0" fontId="16" fillId="4" borderId="3" xfId="2" applyFont="1" applyFill="1" applyBorder="1" applyAlignment="1">
      <alignment horizontal="center" vertical="center"/>
    </xf>
    <xf numFmtId="0" fontId="16" fillId="4" borderId="1" xfId="2" applyFont="1" applyFill="1" applyBorder="1" applyAlignment="1">
      <alignment horizontal="center" vertical="center"/>
    </xf>
    <xf numFmtId="0" fontId="17" fillId="4" borderId="3" xfId="2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0" fontId="16" fillId="3" borderId="3" xfId="2" applyFont="1" applyFill="1" applyBorder="1" applyAlignment="1">
      <alignment horizontal="center" vertical="center"/>
    </xf>
    <xf numFmtId="0" fontId="16" fillId="3" borderId="1" xfId="2" applyFont="1" applyFill="1" applyBorder="1" applyAlignment="1">
      <alignment horizontal="center" vertical="center"/>
    </xf>
    <xf numFmtId="0" fontId="16" fillId="6" borderId="15" xfId="2" applyFont="1" applyFill="1" applyBorder="1" applyAlignment="1">
      <alignment horizontal="center" vertical="center"/>
    </xf>
    <xf numFmtId="0" fontId="16" fillId="6" borderId="16" xfId="2" applyFont="1" applyFill="1" applyBorder="1" applyAlignment="1">
      <alignment horizontal="center" vertical="center"/>
    </xf>
    <xf numFmtId="0" fontId="16" fillId="6" borderId="17" xfId="2" applyFont="1" applyFill="1" applyBorder="1" applyAlignment="1">
      <alignment horizontal="center" vertical="center"/>
    </xf>
    <xf numFmtId="0" fontId="16" fillId="3" borderId="11" xfId="2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horizontal="center" vertical="center"/>
    </xf>
    <xf numFmtId="0" fontId="16" fillId="3" borderId="1" xfId="2" applyFont="1" applyFill="1" applyBorder="1" applyAlignment="1">
      <alignment horizontal="center" vertical="center" wrapText="1"/>
    </xf>
    <xf numFmtId="0" fontId="16" fillId="3" borderId="7" xfId="2" applyFont="1" applyFill="1" applyBorder="1" applyAlignment="1">
      <alignment horizontal="center" vertical="center" wrapText="1"/>
    </xf>
    <xf numFmtId="0" fontId="16" fillId="3" borderId="2" xfId="2" applyFont="1" applyFill="1" applyBorder="1" applyAlignment="1">
      <alignment horizontal="center" vertical="center" wrapText="1"/>
    </xf>
    <xf numFmtId="0" fontId="16" fillId="3" borderId="12" xfId="2" applyFont="1" applyFill="1" applyBorder="1" applyAlignment="1">
      <alignment horizontal="center" vertical="center" wrapText="1"/>
    </xf>
    <xf numFmtId="0" fontId="22" fillId="5" borderId="7" xfId="2" applyFont="1" applyFill="1" applyBorder="1" applyAlignment="1">
      <alignment horizontal="center" vertical="center" wrapText="1"/>
    </xf>
    <xf numFmtId="0" fontId="22" fillId="5" borderId="7" xfId="2" applyFont="1" applyFill="1" applyBorder="1" applyAlignment="1">
      <alignment horizontal="center" vertical="center"/>
    </xf>
    <xf numFmtId="0" fontId="22" fillId="0" borderId="7" xfId="2" applyFont="1" applyFill="1" applyBorder="1" applyAlignment="1">
      <alignment horizontal="center" vertical="center" wrapText="1"/>
    </xf>
    <xf numFmtId="0" fontId="22" fillId="7" borderId="7" xfId="2" applyFont="1" applyFill="1" applyBorder="1" applyAlignment="1">
      <alignment horizontal="center" vertical="center" wrapText="1"/>
    </xf>
    <xf numFmtId="0" fontId="22" fillId="13" borderId="7" xfId="2" applyFont="1" applyFill="1" applyBorder="1" applyAlignment="1">
      <alignment horizontal="center" vertical="center"/>
    </xf>
    <xf numFmtId="0" fontId="22" fillId="13" borderId="7" xfId="2" applyFont="1" applyFill="1" applyBorder="1" applyAlignment="1">
      <alignment horizontal="center" vertical="center" wrapText="1"/>
    </xf>
  </cellXfs>
  <cellStyles count="8">
    <cellStyle name="백분율" xfId="7" builtinId="5"/>
    <cellStyle name="백분율 2" xfId="3"/>
    <cellStyle name="백분율 3" xfId="6"/>
    <cellStyle name="쉼표 [0] 2" xfId="4"/>
    <cellStyle name="쉼표 [0] 3" xfId="5"/>
    <cellStyle name="표준" xfId="0" builtinId="0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0"/>
  <sheetViews>
    <sheetView zoomScale="70" zoomScaleNormal="70" workbookViewId="0">
      <pane xSplit="2" topLeftCell="C1" activePane="topRight" state="frozen"/>
      <selection pane="topRight" activeCell="E21" sqref="E21"/>
    </sheetView>
  </sheetViews>
  <sheetFormatPr defaultColWidth="9" defaultRowHeight="19.5" x14ac:dyDescent="0.3"/>
  <cols>
    <col min="1" max="1" width="13.625" style="2" bestFit="1" customWidth="1"/>
    <col min="2" max="3" width="19.75" style="2" customWidth="1"/>
    <col min="4" max="4" width="18.125" style="2" bestFit="1" customWidth="1"/>
    <col min="5" max="5" width="18.125" style="2" customWidth="1"/>
    <col min="6" max="6" width="17.5" style="2" bestFit="1" customWidth="1"/>
    <col min="7" max="7" width="17.5" style="2" customWidth="1"/>
    <col min="8" max="8" width="17.5" style="2" bestFit="1" customWidth="1"/>
    <col min="9" max="9" width="17.5" style="2" customWidth="1"/>
    <col min="10" max="10" width="17.5" style="2" bestFit="1" customWidth="1"/>
    <col min="11" max="11" width="17.5" style="2" customWidth="1"/>
    <col min="12" max="12" width="17.5" style="2" bestFit="1" customWidth="1"/>
    <col min="13" max="13" width="17.5" style="2" customWidth="1"/>
    <col min="14" max="14" width="17.5" style="2" bestFit="1" customWidth="1"/>
    <col min="15" max="15" width="17.5" style="2" customWidth="1"/>
    <col min="16" max="16" width="17.5" style="2" bestFit="1" customWidth="1"/>
    <col min="17" max="17" width="17.5" style="2" customWidth="1"/>
    <col min="18" max="18" width="17.5" style="2" bestFit="1" customWidth="1"/>
    <col min="19" max="19" width="17.5" style="2" customWidth="1"/>
    <col min="20" max="20" width="17.5" style="2" bestFit="1" customWidth="1"/>
    <col min="21" max="21" width="17.5" style="2" customWidth="1"/>
    <col min="22" max="22" width="17.5" style="2" bestFit="1" customWidth="1"/>
    <col min="23" max="23" width="17.5" style="2" customWidth="1"/>
    <col min="24" max="24" width="17.5" style="2" bestFit="1" customWidth="1"/>
    <col min="25" max="25" width="17.5" style="2" customWidth="1"/>
    <col min="26" max="26" width="17.5" style="2" bestFit="1" customWidth="1"/>
    <col min="27" max="27" width="17.5" style="2" customWidth="1"/>
    <col min="28" max="28" width="17.5" style="2" bestFit="1" customWidth="1"/>
    <col min="29" max="29" width="17.5" style="2" customWidth="1"/>
    <col min="30" max="30" width="17.5" style="2" bestFit="1" customWidth="1"/>
    <col min="31" max="31" width="17.5" style="2" customWidth="1"/>
    <col min="32" max="32" width="17.5" style="2" bestFit="1" customWidth="1"/>
    <col min="33" max="33" width="55.625" style="2" bestFit="1" customWidth="1"/>
    <col min="34" max="16384" width="9" style="2"/>
  </cols>
  <sheetData>
    <row r="1" spans="1:33" ht="40.15" customHeight="1" x14ac:dyDescent="0.3">
      <c r="A1" s="90" t="s">
        <v>23</v>
      </c>
      <c r="B1" s="1" t="s">
        <v>34</v>
      </c>
      <c r="C1" s="1"/>
      <c r="D1" s="65" t="s">
        <v>82</v>
      </c>
      <c r="E1" s="65"/>
      <c r="F1" s="65"/>
      <c r="G1" s="66"/>
      <c r="H1" s="83" t="s">
        <v>96</v>
      </c>
      <c r="I1" s="84"/>
      <c r="J1" s="84"/>
      <c r="K1" s="84"/>
      <c r="L1" s="84"/>
      <c r="M1" s="84"/>
      <c r="N1" s="85"/>
      <c r="O1" s="62"/>
      <c r="P1" s="78" t="s">
        <v>83</v>
      </c>
      <c r="Q1" s="78"/>
      <c r="R1" s="78"/>
      <c r="S1" s="78"/>
      <c r="T1" s="78"/>
      <c r="U1" s="78"/>
      <c r="V1" s="78"/>
      <c r="W1" s="1"/>
      <c r="X1" s="78" t="s">
        <v>84</v>
      </c>
      <c r="Y1" s="78"/>
      <c r="Z1" s="78"/>
      <c r="AA1" s="78"/>
      <c r="AB1" s="78"/>
      <c r="AC1" s="78"/>
      <c r="AD1" s="78"/>
      <c r="AE1" s="78"/>
      <c r="AF1" s="78"/>
      <c r="AG1" s="78" t="s">
        <v>30</v>
      </c>
    </row>
    <row r="2" spans="1:33" ht="40.15" customHeight="1" x14ac:dyDescent="0.3">
      <c r="A2" s="91"/>
      <c r="B2" s="1" t="s">
        <v>35</v>
      </c>
      <c r="C2" s="88" t="s">
        <v>18</v>
      </c>
      <c r="D2" s="89"/>
      <c r="E2" s="88" t="s">
        <v>19</v>
      </c>
      <c r="F2" s="89"/>
      <c r="G2" s="88" t="s">
        <v>18</v>
      </c>
      <c r="H2" s="89"/>
      <c r="I2" s="88" t="s">
        <v>19</v>
      </c>
      <c r="J2" s="89"/>
      <c r="K2" s="88" t="s">
        <v>20</v>
      </c>
      <c r="L2" s="89"/>
      <c r="M2" s="88" t="s">
        <v>21</v>
      </c>
      <c r="N2" s="89"/>
      <c r="O2" s="88" t="s">
        <v>18</v>
      </c>
      <c r="P2" s="89"/>
      <c r="Q2" s="88" t="s">
        <v>19</v>
      </c>
      <c r="R2" s="89"/>
      <c r="S2" s="88" t="s">
        <v>20</v>
      </c>
      <c r="T2" s="89"/>
      <c r="U2" s="88" t="s">
        <v>21</v>
      </c>
      <c r="V2" s="89"/>
      <c r="W2" s="88" t="s">
        <v>18</v>
      </c>
      <c r="X2" s="89"/>
      <c r="Y2" s="88" t="s">
        <v>19</v>
      </c>
      <c r="Z2" s="89"/>
      <c r="AA2" s="88" t="s">
        <v>20</v>
      </c>
      <c r="AB2" s="89"/>
      <c r="AC2" s="88" t="s">
        <v>21</v>
      </c>
      <c r="AD2" s="89"/>
      <c r="AE2" s="88" t="s">
        <v>22</v>
      </c>
      <c r="AF2" s="89"/>
      <c r="AG2" s="78"/>
    </row>
    <row r="3" spans="1:33" ht="40.15" customHeight="1" x14ac:dyDescent="0.3">
      <c r="A3" s="91"/>
      <c r="B3" s="1" t="s">
        <v>36</v>
      </c>
      <c r="C3" s="86" t="s">
        <v>93</v>
      </c>
      <c r="D3" s="87"/>
      <c r="E3" s="86" t="s">
        <v>94</v>
      </c>
      <c r="F3" s="87"/>
      <c r="G3" s="86" t="s">
        <v>95</v>
      </c>
      <c r="H3" s="87"/>
      <c r="I3" s="86" t="s">
        <v>97</v>
      </c>
      <c r="J3" s="87"/>
      <c r="K3" s="86" t="s">
        <v>98</v>
      </c>
      <c r="L3" s="87"/>
      <c r="M3" s="86" t="s">
        <v>99</v>
      </c>
      <c r="N3" s="87"/>
      <c r="O3" s="86" t="s">
        <v>100</v>
      </c>
      <c r="P3" s="87"/>
      <c r="Q3" s="86" t="s">
        <v>101</v>
      </c>
      <c r="R3" s="87"/>
      <c r="S3" s="86" t="s">
        <v>102</v>
      </c>
      <c r="T3" s="87"/>
      <c r="U3" s="86" t="s">
        <v>103</v>
      </c>
      <c r="V3" s="87"/>
      <c r="W3" s="86" t="s">
        <v>104</v>
      </c>
      <c r="X3" s="87"/>
      <c r="Y3" s="86" t="s">
        <v>105</v>
      </c>
      <c r="Z3" s="87"/>
      <c r="AA3" s="86" t="s">
        <v>106</v>
      </c>
      <c r="AB3" s="87"/>
      <c r="AC3" s="86" t="s">
        <v>107</v>
      </c>
      <c r="AD3" s="87"/>
      <c r="AE3" s="86" t="s">
        <v>108</v>
      </c>
      <c r="AF3" s="87"/>
      <c r="AG3" s="78"/>
    </row>
    <row r="4" spans="1:33" ht="40.15" customHeight="1" x14ac:dyDescent="0.3">
      <c r="A4" s="92"/>
      <c r="B4" s="1" t="s">
        <v>43</v>
      </c>
      <c r="C4" s="4" t="s">
        <v>44</v>
      </c>
      <c r="D4" s="4" t="s">
        <v>45</v>
      </c>
      <c r="E4" s="4" t="s">
        <v>44</v>
      </c>
      <c r="F4" s="4" t="s">
        <v>45</v>
      </c>
      <c r="G4" s="4" t="s">
        <v>44</v>
      </c>
      <c r="H4" s="4" t="s">
        <v>45</v>
      </c>
      <c r="I4" s="4" t="s">
        <v>44</v>
      </c>
      <c r="J4" s="4" t="s">
        <v>45</v>
      </c>
      <c r="K4" s="4" t="s">
        <v>44</v>
      </c>
      <c r="L4" s="4" t="s">
        <v>45</v>
      </c>
      <c r="M4" s="4" t="s">
        <v>44</v>
      </c>
      <c r="N4" s="4" t="s">
        <v>45</v>
      </c>
      <c r="O4" s="4" t="s">
        <v>44</v>
      </c>
      <c r="P4" s="4" t="s">
        <v>45</v>
      </c>
      <c r="Q4" s="4" t="s">
        <v>44</v>
      </c>
      <c r="R4" s="4" t="s">
        <v>45</v>
      </c>
      <c r="S4" s="4" t="s">
        <v>44</v>
      </c>
      <c r="T4" s="4" t="s">
        <v>45</v>
      </c>
      <c r="U4" s="4" t="s">
        <v>44</v>
      </c>
      <c r="V4" s="4" t="s">
        <v>45</v>
      </c>
      <c r="W4" s="4" t="s">
        <v>44</v>
      </c>
      <c r="X4" s="4" t="s">
        <v>45</v>
      </c>
      <c r="Y4" s="4" t="s">
        <v>44</v>
      </c>
      <c r="Z4" s="4" t="s">
        <v>45</v>
      </c>
      <c r="AA4" s="4" t="s">
        <v>44</v>
      </c>
      <c r="AB4" s="4" t="s">
        <v>45</v>
      </c>
      <c r="AC4" s="4" t="s">
        <v>44</v>
      </c>
      <c r="AD4" s="4" t="s">
        <v>45</v>
      </c>
      <c r="AE4" s="4" t="s">
        <v>44</v>
      </c>
      <c r="AF4" s="4" t="s">
        <v>45</v>
      </c>
      <c r="AG4" s="1"/>
    </row>
    <row r="5" spans="1:33" ht="40.15" customHeight="1" x14ac:dyDescent="0.3">
      <c r="A5" s="77" t="s">
        <v>29</v>
      </c>
      <c r="B5" s="6" t="s">
        <v>26</v>
      </c>
      <c r="C5" s="99" t="s">
        <v>24</v>
      </c>
      <c r="D5" s="100"/>
      <c r="E5" s="97" t="s">
        <v>17</v>
      </c>
      <c r="F5" s="98"/>
      <c r="G5" s="97" t="s">
        <v>17</v>
      </c>
      <c r="H5" s="98"/>
      <c r="I5" s="97" t="s">
        <v>17</v>
      </c>
      <c r="J5" s="98"/>
      <c r="K5" s="97" t="s">
        <v>17</v>
      </c>
      <c r="L5" s="98"/>
      <c r="M5" s="97" t="s">
        <v>17</v>
      </c>
      <c r="N5" s="98"/>
      <c r="O5" s="97" t="s">
        <v>17</v>
      </c>
      <c r="P5" s="98"/>
      <c r="Q5" s="97" t="s">
        <v>17</v>
      </c>
      <c r="R5" s="98"/>
      <c r="S5" s="97" t="s">
        <v>17</v>
      </c>
      <c r="T5" s="98"/>
      <c r="U5" s="97" t="s">
        <v>17</v>
      </c>
      <c r="V5" s="98"/>
      <c r="W5" s="99" t="s">
        <v>25</v>
      </c>
      <c r="X5" s="100"/>
      <c r="Y5" s="97" t="s">
        <v>17</v>
      </c>
      <c r="Z5" s="98"/>
      <c r="AA5" s="97" t="s">
        <v>17</v>
      </c>
      <c r="AB5" s="98"/>
      <c r="AC5" s="97" t="s">
        <v>17</v>
      </c>
      <c r="AD5" s="98"/>
      <c r="AE5" s="97" t="s">
        <v>17</v>
      </c>
      <c r="AF5" s="98"/>
      <c r="AG5" s="82" t="s">
        <v>17</v>
      </c>
    </row>
    <row r="6" spans="1:33" ht="40.15" customHeight="1" x14ac:dyDescent="0.3">
      <c r="A6" s="78"/>
      <c r="B6" s="6" t="s">
        <v>27</v>
      </c>
      <c r="C6" s="97" t="s">
        <v>17</v>
      </c>
      <c r="D6" s="98"/>
      <c r="E6" s="93" t="s">
        <v>28</v>
      </c>
      <c r="F6" s="94"/>
      <c r="G6" s="93" t="s">
        <v>28</v>
      </c>
      <c r="H6" s="94"/>
      <c r="I6" s="93" t="s">
        <v>28</v>
      </c>
      <c r="J6" s="94"/>
      <c r="K6" s="93" t="s">
        <v>28</v>
      </c>
      <c r="L6" s="94"/>
      <c r="M6" s="93" t="s">
        <v>28</v>
      </c>
      <c r="N6" s="94"/>
      <c r="O6" s="93" t="s">
        <v>28</v>
      </c>
      <c r="P6" s="94"/>
      <c r="Q6" s="93" t="s">
        <v>28</v>
      </c>
      <c r="R6" s="94"/>
      <c r="S6" s="93" t="s">
        <v>28</v>
      </c>
      <c r="T6" s="94"/>
      <c r="U6" s="93" t="s">
        <v>28</v>
      </c>
      <c r="V6" s="94"/>
      <c r="W6" s="93" t="s">
        <v>28</v>
      </c>
      <c r="X6" s="94"/>
      <c r="Y6" s="93" t="s">
        <v>28</v>
      </c>
      <c r="Z6" s="94"/>
      <c r="AA6" s="93" t="s">
        <v>28</v>
      </c>
      <c r="AB6" s="94"/>
      <c r="AC6" s="93" t="s">
        <v>28</v>
      </c>
      <c r="AD6" s="94"/>
      <c r="AE6" s="93" t="s">
        <v>28</v>
      </c>
      <c r="AF6" s="94"/>
      <c r="AG6" s="82"/>
    </row>
    <row r="7" spans="1:33" ht="58.5" x14ac:dyDescent="0.3">
      <c r="A7" s="5" t="s">
        <v>32</v>
      </c>
      <c r="B7" s="7" t="s">
        <v>33</v>
      </c>
      <c r="C7" s="95" t="s">
        <v>85</v>
      </c>
      <c r="D7" s="96"/>
      <c r="E7" s="95" t="s">
        <v>86</v>
      </c>
      <c r="F7" s="96"/>
      <c r="G7" s="95" t="s">
        <v>87</v>
      </c>
      <c r="H7" s="96"/>
      <c r="I7" s="95" t="s">
        <v>85</v>
      </c>
      <c r="J7" s="96"/>
      <c r="K7" s="97" t="s">
        <v>17</v>
      </c>
      <c r="L7" s="98"/>
      <c r="M7" s="97" t="s">
        <v>17</v>
      </c>
      <c r="N7" s="98"/>
      <c r="O7" s="97" t="s">
        <v>17</v>
      </c>
      <c r="P7" s="98"/>
      <c r="Q7" s="97" t="s">
        <v>17</v>
      </c>
      <c r="R7" s="98"/>
      <c r="S7" s="97" t="s">
        <v>17</v>
      </c>
      <c r="T7" s="98"/>
      <c r="U7" s="97" t="s">
        <v>17</v>
      </c>
      <c r="V7" s="98"/>
      <c r="W7" s="97" t="s">
        <v>17</v>
      </c>
      <c r="X7" s="98"/>
      <c r="Y7" s="97" t="s">
        <v>17</v>
      </c>
      <c r="Z7" s="98"/>
      <c r="AA7" s="97" t="s">
        <v>17</v>
      </c>
      <c r="AB7" s="98"/>
      <c r="AC7" s="97" t="s">
        <v>17</v>
      </c>
      <c r="AD7" s="98"/>
      <c r="AE7" s="97" t="s">
        <v>17</v>
      </c>
      <c r="AF7" s="98"/>
      <c r="AG7" s="3" t="s">
        <v>120</v>
      </c>
    </row>
    <row r="8" spans="1:33" ht="50.1" customHeight="1" x14ac:dyDescent="0.3">
      <c r="A8" s="74" t="s">
        <v>31</v>
      </c>
      <c r="B8" s="7" t="s">
        <v>88</v>
      </c>
      <c r="C8" s="60">
        <f>SUM('기능 개발 WBS'!$N$5:$N$13)/COUNTA('기능 개발 WBS'!$F$5:$F$13)</f>
        <v>0</v>
      </c>
      <c r="D8" s="67">
        <f>SUM('기능 개발 WBS'!$O$5:$O$13)/COUNTA('기능 개발 WBS'!$F$5:$F$13)</f>
        <v>0</v>
      </c>
      <c r="E8" s="61">
        <f>SUM('기능 개발 WBS'!$V$5:$V$13)/COUNTA('기능 개발 WBS'!$F$5:$F$13)</f>
        <v>0</v>
      </c>
      <c r="F8" s="68">
        <f>SUM('기능 개발 WBS'!$W$5:$W$13)/COUNTA('기능 개발 WBS'!$F$5:$F$13)</f>
        <v>0</v>
      </c>
      <c r="G8" s="61">
        <f>SUM('기능 개발 WBS'!$AD$5:$AD$13)/COUNTA('기능 개발 WBS'!$F$5:$F$13)</f>
        <v>0</v>
      </c>
      <c r="H8" s="68">
        <f>SUM('기능 개발 WBS'!$AE$5:$AE$13)/COUNTA('기능 개발 WBS'!$F$5:$F$13)</f>
        <v>0</v>
      </c>
      <c r="I8" s="61">
        <f>SUM('기능 개발 WBS'!$AL$5:$AL$13)/COUNTA('기능 개발 WBS'!$F$5:$F$13)</f>
        <v>0</v>
      </c>
      <c r="J8" s="68">
        <f>SUM('기능 개발 WBS'!$AM$5:$AM$13)/COUNTA('기능 개발 WBS'!$F$5:$F$13)</f>
        <v>0</v>
      </c>
      <c r="K8" s="61">
        <f>SUM('기능 개발 WBS'!$AT$5:$AT$13)/COUNTA('기능 개발 WBS'!$F$5:$F$13)</f>
        <v>0</v>
      </c>
      <c r="L8" s="68">
        <f>SUM('기능 개발 WBS'!$AU$5:$AU$13)/COUNTA('기능 개발 WBS'!$F$5:$F$13)</f>
        <v>0</v>
      </c>
      <c r="M8" s="61">
        <f>SUM('기능 개발 WBS'!$BB$5:$BB$13)/COUNTA('기능 개발 WBS'!$F$5:$F$13)</f>
        <v>0</v>
      </c>
      <c r="N8" s="68">
        <f>SUM('기능 개발 WBS'!$BC$5:$BC$13)/COUNTA('기능 개발 WBS'!$F$5:$F$13)</f>
        <v>0</v>
      </c>
      <c r="O8" s="61">
        <f>SUM('기능 개발 WBS'!$BJ$5:$BJ$13)/COUNTA('기능 개발 WBS'!$F$5:$F$13)</f>
        <v>0</v>
      </c>
      <c r="P8" s="68">
        <f>SUM('기능 개발 WBS'!$BK$5:$BK$13)/COUNTA('기능 개발 WBS'!$F$5:$F$13)</f>
        <v>0</v>
      </c>
      <c r="Q8" s="61">
        <f>SUM('기능 개발 WBS'!$BR$5:$BR$13)/COUNTA('기능 개발 WBS'!$F$5:$F$13)</f>
        <v>0</v>
      </c>
      <c r="R8" s="68">
        <f>SUM('기능 개발 WBS'!$BS$5:$BS$13)/COUNTA('기능 개발 WBS'!$F$5:$F$13)</f>
        <v>0</v>
      </c>
      <c r="S8" s="61">
        <f>SUM('기능 개발 WBS'!$BZ$5:$BZ$13)/COUNTA('기능 개발 WBS'!$F$5:$F$13)</f>
        <v>0</v>
      </c>
      <c r="T8" s="68">
        <f>SUM('기능 개발 WBS'!$CA$5:$CA$13)/COUNTA('기능 개발 WBS'!$F$5:$F$13)</f>
        <v>0</v>
      </c>
      <c r="U8" s="61">
        <f>SUM('기능 개발 WBS'!$CH$5:$CH$13)/COUNTA('기능 개발 WBS'!$F$5:$F$13)</f>
        <v>0</v>
      </c>
      <c r="V8" s="68">
        <f>SUM('기능 개발 WBS'!$CI$5:$CI$13)/COUNTA('기능 개발 WBS'!$F$5:$F$13)</f>
        <v>0</v>
      </c>
      <c r="W8" s="61">
        <f>SUM('기능 개발 WBS'!$CP$5:$CP$13)/COUNTA('기능 개발 WBS'!$F$5:$F$13)</f>
        <v>0</v>
      </c>
      <c r="X8" s="68">
        <f>SUM('기능 개발 WBS'!$CQ$5:$CQ$13)/COUNTA('기능 개발 WBS'!$F$5:$F$13)</f>
        <v>0</v>
      </c>
      <c r="Y8" s="61">
        <f>SUM('기능 개발 WBS'!$CX$5:$CX$13)/COUNTA('기능 개발 WBS'!$F$5:$F$13)</f>
        <v>0</v>
      </c>
      <c r="Z8" s="68">
        <f>SUM('기능 개발 WBS'!$CY$5:$CY$13)/COUNTA('기능 개발 WBS'!$F$5:$F$13)</f>
        <v>0</v>
      </c>
      <c r="AA8" s="61">
        <f>SUM('기능 개발 WBS'!$DF$5:$DF$13)/COUNTA('기능 개발 WBS'!$F$5:$F$13)</f>
        <v>0</v>
      </c>
      <c r="AB8" s="68">
        <f>SUM('기능 개발 WBS'!$DG$5:$DG$13)/COUNTA('기능 개발 WBS'!$F$5:$F$13)</f>
        <v>0</v>
      </c>
      <c r="AC8" s="61">
        <f>SUM('기능 개발 WBS'!$DN$5:$DN$13)/COUNTA('기능 개발 WBS'!$F$5:$F$13)</f>
        <v>0</v>
      </c>
      <c r="AD8" s="68">
        <f>SUM('기능 개발 WBS'!$DO$5:$DO$13)/COUNTA('기능 개발 WBS'!$F$5:$F$13)</f>
        <v>0</v>
      </c>
      <c r="AE8" s="61" t="e">
        <f>SUM('기능 개발 WBS'!#REF!)/COUNTA('기능 개발 WBS'!$F$5:$F$13)</f>
        <v>#REF!</v>
      </c>
      <c r="AF8" s="68" t="e">
        <f>SUM('기능 개발 WBS'!#REF!)/COUNTA('기능 개발 WBS'!$F$5:$F$13)</f>
        <v>#REF!</v>
      </c>
      <c r="AG8" s="79" t="s">
        <v>37</v>
      </c>
    </row>
    <row r="9" spans="1:33" ht="50.1" customHeight="1" x14ac:dyDescent="0.3">
      <c r="A9" s="75"/>
      <c r="B9" s="7" t="s">
        <v>89</v>
      </c>
      <c r="C9" s="60">
        <f>SUM('기능 개발 WBS'!$N$23:$N$28)/COUNTA('기능 개발 WBS'!$F$23:$F$28)</f>
        <v>0</v>
      </c>
      <c r="D9" s="67">
        <f>SUM('기능 개발 WBS'!$O$23:$O$28)/COUNTA('기능 개발 WBS'!$F$23:$F$28)</f>
        <v>0</v>
      </c>
      <c r="E9" s="60">
        <f>SUM('기능 개발 WBS'!$V$23:$V$28)/COUNTA('기능 개발 WBS'!$F$23:$F$28)</f>
        <v>0</v>
      </c>
      <c r="F9" s="67">
        <f>SUM('기능 개발 WBS'!$W$23:$W$28)/COUNTA('기능 개발 WBS'!$F$23:$F$28)</f>
        <v>0</v>
      </c>
      <c r="G9" s="60">
        <f>SUM('기능 개발 WBS'!$AD$23:$AD$28)/COUNTA('기능 개발 WBS'!$F$23:$F$28)</f>
        <v>0</v>
      </c>
      <c r="H9" s="67">
        <f>SUM('기능 개발 WBS'!$AE$23:$AE$28)/COUNTA('기능 개발 WBS'!$F$23:$F$28)</f>
        <v>0</v>
      </c>
      <c r="I9" s="60">
        <f>SUM('기능 개발 WBS'!$AL$23:$AL$28)/COUNTA('기능 개발 WBS'!$F$23:$F$28)</f>
        <v>0</v>
      </c>
      <c r="J9" s="67">
        <f>SUM('기능 개발 WBS'!$AM$23:$AM$28)/COUNTA('기능 개발 WBS'!$F$23:$F$28)</f>
        <v>0</v>
      </c>
      <c r="K9" s="60">
        <f>SUM('기능 개발 WBS'!$AT$23:$AT$28)/COUNTA('기능 개발 WBS'!$F$23:$F$28)</f>
        <v>0</v>
      </c>
      <c r="L9" s="67">
        <f>SUM('기능 개발 WBS'!$AU$23:$AU$28)/COUNTA('기능 개발 WBS'!$F$23:$F$28)</f>
        <v>0</v>
      </c>
      <c r="M9" s="60">
        <f>SUM('기능 개발 WBS'!$BB$23:$BB$28)/COUNTA('기능 개발 WBS'!$F$23:$F$28)</f>
        <v>0</v>
      </c>
      <c r="N9" s="67">
        <f>SUM('기능 개발 WBS'!$BC$23:$BC$28)/COUNTA('기능 개발 WBS'!$F$23:$F$28)</f>
        <v>0</v>
      </c>
      <c r="O9" s="60">
        <f>SUM('기능 개발 WBS'!$BJ$23:$BJ$28)/COUNTA('기능 개발 WBS'!$F$23:$F$28)</f>
        <v>0</v>
      </c>
      <c r="P9" s="67">
        <f>SUM('기능 개발 WBS'!$BK$23:$BK$28)/COUNTA('기능 개발 WBS'!$F$23:$F$28)</f>
        <v>0</v>
      </c>
      <c r="Q9" s="60">
        <f>SUM('기능 개발 WBS'!$BR$23:$BR$28)/COUNTA('기능 개발 WBS'!$F$23:$F$28)</f>
        <v>0</v>
      </c>
      <c r="R9" s="67">
        <f>SUM('기능 개발 WBS'!$BS$23:$BS$28)/COUNTA('기능 개발 WBS'!$F$23:$F$28)</f>
        <v>0</v>
      </c>
      <c r="S9" s="60">
        <f>SUM('기능 개발 WBS'!$BZ$23:$BZ$28)/COUNTA('기능 개발 WBS'!$F$23:$F$28)</f>
        <v>0</v>
      </c>
      <c r="T9" s="67">
        <f>SUM('기능 개발 WBS'!$CA$23:$CA$28)/COUNTA('기능 개발 WBS'!$F$23:$F$28)</f>
        <v>0</v>
      </c>
      <c r="U9" s="60">
        <f>SUM('기능 개발 WBS'!$CH$23:$CH$28)/COUNTA('기능 개발 WBS'!$F$23:$F$28)</f>
        <v>0</v>
      </c>
      <c r="V9" s="67">
        <f>SUM('기능 개발 WBS'!$CI$23:$CI$28)/COUNTA('기능 개발 WBS'!$F$23:$F$28)</f>
        <v>0</v>
      </c>
      <c r="W9" s="60">
        <f>SUM('기능 개발 WBS'!$CP$23:$CP$28)/COUNTA('기능 개발 WBS'!$F$23:$F$28)</f>
        <v>0</v>
      </c>
      <c r="X9" s="67">
        <f>SUM('기능 개발 WBS'!$CQ$23:$CQ$28)/COUNTA('기능 개발 WBS'!$F$23:$F$28)</f>
        <v>0</v>
      </c>
      <c r="Y9" s="60">
        <f>SUM('기능 개발 WBS'!$CX$23:$CX$28)/COUNTA('기능 개발 WBS'!$F$23:$F$28)</f>
        <v>0</v>
      </c>
      <c r="Z9" s="67">
        <f>SUM('기능 개발 WBS'!$CY$23:$CY$28)/COUNTA('기능 개발 WBS'!$F$23:$F$28)</f>
        <v>0</v>
      </c>
      <c r="AA9" s="60">
        <f>SUM('기능 개발 WBS'!$DF$23:$DF$28)/COUNTA('기능 개발 WBS'!$F$23:$F$28)</f>
        <v>0</v>
      </c>
      <c r="AB9" s="67">
        <f>SUM('기능 개발 WBS'!$DG$23:$DG$28)/COUNTA('기능 개발 WBS'!$F$23:$F$28)</f>
        <v>0</v>
      </c>
      <c r="AC9" s="60">
        <f>SUM('기능 개발 WBS'!$DN$23:$DN$28)/COUNTA('기능 개발 WBS'!$F$23:$F$28)</f>
        <v>0</v>
      </c>
      <c r="AD9" s="67">
        <f>SUM('기능 개발 WBS'!$DO$23:$DO$28)/COUNTA('기능 개발 WBS'!$F$23:$F$28)</f>
        <v>0</v>
      </c>
      <c r="AE9" s="60" t="e">
        <f>SUM('기능 개발 WBS'!#REF!)/COUNTA('기능 개발 WBS'!$F$23:$F$28)</f>
        <v>#REF!</v>
      </c>
      <c r="AF9" s="67" t="e">
        <f>SUM('기능 개발 WBS'!#REF!)/COUNTA('기능 개발 WBS'!$F$23:$F$28)</f>
        <v>#REF!</v>
      </c>
      <c r="AG9" s="80"/>
    </row>
    <row r="10" spans="1:33" ht="50.1" customHeight="1" x14ac:dyDescent="0.3">
      <c r="A10" s="75"/>
      <c r="B10" s="72" t="s">
        <v>90</v>
      </c>
      <c r="C10" s="60">
        <f>SUM('기능 개발 WBS'!$N$29:$N$31)/COUNTA('기능 개발 WBS'!$F$29:$F$31)</f>
        <v>0</v>
      </c>
      <c r="D10" s="67">
        <f>SUM('기능 개발 WBS'!$O$29:$O$31)/COUNTA('기능 개발 WBS'!$F$29:$F$31)</f>
        <v>0</v>
      </c>
      <c r="E10" s="60">
        <f>SUM('기능 개발 WBS'!$V$29:$V$31)/COUNTA('기능 개발 WBS'!$F$29:$F$31)</f>
        <v>0</v>
      </c>
      <c r="F10" s="67">
        <f>SUM('기능 개발 WBS'!$W$29:$W$31)/COUNTA('기능 개발 WBS'!$F$29:$F$31)</f>
        <v>0</v>
      </c>
      <c r="G10" s="60">
        <f>SUM('기능 개발 WBS'!$AD$29:$AD$31)/COUNTA('기능 개발 WBS'!$F$29:$F$31)</f>
        <v>0</v>
      </c>
      <c r="H10" s="67">
        <f>SUM('기능 개발 WBS'!$AE$29:$AE$31)/COUNTA('기능 개발 WBS'!$F$29:$F$31)</f>
        <v>0</v>
      </c>
      <c r="I10" s="60">
        <f>SUM('기능 개발 WBS'!$AL$29:$AL$31)/COUNTA('기능 개발 WBS'!$F$29:$F$31)</f>
        <v>0</v>
      </c>
      <c r="J10" s="67">
        <f>SUM('기능 개발 WBS'!$AM$29:$AM$31)/COUNTA('기능 개발 WBS'!$F$29:$F$31)</f>
        <v>0</v>
      </c>
      <c r="K10" s="60">
        <f>SUM('기능 개발 WBS'!$AT$29:$AT$31)/COUNTA('기능 개발 WBS'!$F$29:$F$31)</f>
        <v>0</v>
      </c>
      <c r="L10" s="67">
        <f>SUM('기능 개발 WBS'!$AU$29:$AU$31)/COUNTA('기능 개발 WBS'!$F$29:$F$31)</f>
        <v>0</v>
      </c>
      <c r="M10" s="60">
        <f>SUM('기능 개발 WBS'!$BB$29:$BB$31)/COUNTA('기능 개발 WBS'!$F$29:$F$31)</f>
        <v>0</v>
      </c>
      <c r="N10" s="67">
        <f>SUM('기능 개발 WBS'!$BC$29:$BC$31)/COUNTA('기능 개발 WBS'!$F$29:$F$31)</f>
        <v>0</v>
      </c>
      <c r="O10" s="60">
        <f>SUM('기능 개발 WBS'!$BJ$29:$BJ$31)/COUNTA('기능 개발 WBS'!$F$29:$F$31)</f>
        <v>0</v>
      </c>
      <c r="P10" s="67">
        <f>SUM('기능 개발 WBS'!$BK$29:$BK$31)/COUNTA('기능 개발 WBS'!$F$29:$F$31)</f>
        <v>0</v>
      </c>
      <c r="Q10" s="60">
        <f>SUM('기능 개발 WBS'!$BR$29:$BR$31)/COUNTA('기능 개발 WBS'!$F$29:$F$31)</f>
        <v>0</v>
      </c>
      <c r="R10" s="67">
        <f>SUM('기능 개발 WBS'!$BS$29:$BS$31)/COUNTA('기능 개발 WBS'!$F$29:$F$31)</f>
        <v>0</v>
      </c>
      <c r="S10" s="60">
        <f>SUM('기능 개발 WBS'!$BZ$29:$BZ$31)/COUNTA('기능 개발 WBS'!$F$29:$F$31)</f>
        <v>0</v>
      </c>
      <c r="T10" s="67">
        <f>SUM('기능 개발 WBS'!$CA$29:$CA$31)/COUNTA('기능 개발 WBS'!$F$29:$F$31)</f>
        <v>0</v>
      </c>
      <c r="U10" s="60">
        <f>SUM('기능 개발 WBS'!$CH$29:$CH$31)/COUNTA('기능 개발 WBS'!$F$29:$F$31)</f>
        <v>0</v>
      </c>
      <c r="V10" s="67">
        <f>SUM('기능 개발 WBS'!$CI$29:$CI$31)/COUNTA('기능 개발 WBS'!$F$29:$F$31)</f>
        <v>0</v>
      </c>
      <c r="W10" s="60">
        <f>SUM('기능 개발 WBS'!$CP$29:$CP$31)/COUNTA('기능 개발 WBS'!$F$29:$F$31)</f>
        <v>0</v>
      </c>
      <c r="X10" s="67">
        <f>SUM('기능 개발 WBS'!$CQ$29:$CQ$31)/COUNTA('기능 개발 WBS'!$F$29:$F$31)</f>
        <v>0</v>
      </c>
      <c r="Y10" s="60">
        <f>SUM('기능 개발 WBS'!$CX$29:$CX$31)/COUNTA('기능 개발 WBS'!$F$29:$F$31)</f>
        <v>0</v>
      </c>
      <c r="Z10" s="67">
        <f>SUM('기능 개발 WBS'!$CY$29:$CY$31)/COUNTA('기능 개발 WBS'!$F$29:$F$31)</f>
        <v>0</v>
      </c>
      <c r="AA10" s="60">
        <f>SUM('기능 개발 WBS'!$DF$29:$DF$31)/COUNTA('기능 개발 WBS'!$F$29:$F$31)</f>
        <v>0</v>
      </c>
      <c r="AB10" s="67">
        <f>SUM('기능 개발 WBS'!$DG$29:$DG$31)/COUNTA('기능 개발 WBS'!$F$29:$F$31)</f>
        <v>0</v>
      </c>
      <c r="AC10" s="60">
        <f>SUM('기능 개발 WBS'!$DN$29:$DN$31)/COUNTA('기능 개발 WBS'!$F$29:$F$31)</f>
        <v>0</v>
      </c>
      <c r="AD10" s="67">
        <f>SUM('기능 개발 WBS'!$DO$29:$DO$31)/COUNTA('기능 개발 WBS'!$F$29:$F$31)</f>
        <v>0</v>
      </c>
      <c r="AE10" s="60" t="e">
        <f>SUM('기능 개발 WBS'!#REF!)/COUNTA('기능 개발 WBS'!$F$29:$F$31)</f>
        <v>#REF!</v>
      </c>
      <c r="AF10" s="67" t="e">
        <f>SUM('기능 개발 WBS'!#REF!)/COUNTA('기능 개발 WBS'!$F$29:$F$31)</f>
        <v>#REF!</v>
      </c>
      <c r="AG10" s="80"/>
    </row>
    <row r="11" spans="1:33" ht="50.1" customHeight="1" x14ac:dyDescent="0.3">
      <c r="A11" s="75"/>
      <c r="B11" s="6" t="s">
        <v>91</v>
      </c>
      <c r="C11" s="60">
        <f>SUM('기능 개발 WBS'!$N$32:$N$37)/COUNTA('기능 개발 WBS'!$F$32:$F$37)</f>
        <v>0</v>
      </c>
      <c r="D11" s="67">
        <f>SUM('기능 개발 WBS'!$O$32:$O$37)/COUNTA('기능 개발 WBS'!$F$32:$F$37)</f>
        <v>0</v>
      </c>
      <c r="E11" s="60">
        <f>SUM('기능 개발 WBS'!$V$32:$V$37)/COUNTA('기능 개발 WBS'!$F$32:$F$37)</f>
        <v>0</v>
      </c>
      <c r="F11" s="67">
        <f>SUM('기능 개발 WBS'!$W$32:$W$37)/COUNTA('기능 개발 WBS'!$F$32:$F$37)</f>
        <v>0</v>
      </c>
      <c r="G11" s="60">
        <f>SUM('기능 개발 WBS'!$AD$32:$AD$37)/COUNTA('기능 개발 WBS'!$F$32:$F$37)</f>
        <v>0</v>
      </c>
      <c r="H11" s="67">
        <f>SUM('기능 개발 WBS'!$AE$32:$AE$37)/COUNTA('기능 개발 WBS'!$F$32:$F$37)</f>
        <v>0</v>
      </c>
      <c r="I11" s="60">
        <f>SUM('기능 개발 WBS'!$AL$32:$AL$37)/COUNTA('기능 개발 WBS'!$F$32:$F$37)</f>
        <v>0</v>
      </c>
      <c r="J11" s="67">
        <f>SUM('기능 개발 WBS'!$AM$32:$AM$37)/COUNTA('기능 개발 WBS'!$F$32:$F$37)</f>
        <v>0</v>
      </c>
      <c r="K11" s="60">
        <f>SUM('기능 개발 WBS'!$AT$32:$AT$37)/COUNTA('기능 개발 WBS'!$F$32:$F$37)</f>
        <v>0</v>
      </c>
      <c r="L11" s="67">
        <f>SUM('기능 개발 WBS'!$AU$32:$AU$37)/COUNTA('기능 개발 WBS'!$F$32:$F$37)</f>
        <v>0</v>
      </c>
      <c r="M11" s="60">
        <f>SUM('기능 개발 WBS'!$BB$32:$BB$37)/COUNTA('기능 개발 WBS'!$F$32:$F$37)</f>
        <v>0</v>
      </c>
      <c r="N11" s="67">
        <f>SUM('기능 개발 WBS'!$BC$32:$BC$37)/COUNTA('기능 개발 WBS'!$F$32:$F$37)</f>
        <v>0</v>
      </c>
      <c r="O11" s="60">
        <f>SUM('기능 개발 WBS'!$BJ$32:$BJ$37)/COUNTA('기능 개발 WBS'!$F$32:$F$37)</f>
        <v>0</v>
      </c>
      <c r="P11" s="67">
        <f>SUM('기능 개발 WBS'!$BK$32:$BK$37)/COUNTA('기능 개발 WBS'!$F$32:$F$37)</f>
        <v>0</v>
      </c>
      <c r="Q11" s="60">
        <f>SUM('기능 개발 WBS'!$BR$32:$BR$37)/COUNTA('기능 개발 WBS'!$F$32:$F$37)</f>
        <v>0</v>
      </c>
      <c r="R11" s="67">
        <f>SUM('기능 개발 WBS'!$BS$32:$BS$37)/COUNTA('기능 개발 WBS'!$F$32:$F$37)</f>
        <v>0</v>
      </c>
      <c r="S11" s="60">
        <f>SUM('기능 개발 WBS'!$BZ$32:$BZ$37)/COUNTA('기능 개발 WBS'!$F$32:$F$37)</f>
        <v>0</v>
      </c>
      <c r="T11" s="67">
        <f>SUM('기능 개발 WBS'!$CA$32:$CA$37)/COUNTA('기능 개발 WBS'!$F$32:$F$37)</f>
        <v>0</v>
      </c>
      <c r="U11" s="60">
        <f>SUM('기능 개발 WBS'!$CH$32:$CH$37)/COUNTA('기능 개발 WBS'!$F$32:$F$37)</f>
        <v>0</v>
      </c>
      <c r="V11" s="67">
        <f>SUM('기능 개발 WBS'!$CI$32:$CI$37)/COUNTA('기능 개발 WBS'!$F$32:$F$37)</f>
        <v>0</v>
      </c>
      <c r="W11" s="60">
        <f>SUM('기능 개발 WBS'!$CP$32:$CP$37)/COUNTA('기능 개발 WBS'!$F$32:$F$37)</f>
        <v>0</v>
      </c>
      <c r="X11" s="67">
        <f>SUM('기능 개발 WBS'!$CQ$32:$CQ$37)/COUNTA('기능 개발 WBS'!$F$32:$F$37)</f>
        <v>0</v>
      </c>
      <c r="Y11" s="60">
        <f>SUM('기능 개발 WBS'!$CX$32:$CX$37)/COUNTA('기능 개발 WBS'!$F$32:$F$37)</f>
        <v>0</v>
      </c>
      <c r="Z11" s="67">
        <f>SUM('기능 개발 WBS'!$CY$32:$CY$37)/COUNTA('기능 개발 WBS'!$F$32:$F$37)</f>
        <v>0</v>
      </c>
      <c r="AA11" s="60">
        <f>SUM('기능 개발 WBS'!$DF$32:$DF$37)/COUNTA('기능 개발 WBS'!$F$32:$F$37)</f>
        <v>0</v>
      </c>
      <c r="AB11" s="67">
        <f>SUM('기능 개발 WBS'!$DG$32:$DG$37)/COUNTA('기능 개발 WBS'!$F$32:$F$37)</f>
        <v>0</v>
      </c>
      <c r="AC11" s="60">
        <f>SUM('기능 개발 WBS'!$DN$32:$DN$37)/COUNTA('기능 개발 WBS'!$F$32:$F$37)</f>
        <v>0</v>
      </c>
      <c r="AD11" s="67">
        <f>SUM('기능 개발 WBS'!$DO$32:$DO$37)/COUNTA('기능 개발 WBS'!$F$32:$F$37)</f>
        <v>0</v>
      </c>
      <c r="AE11" s="60" t="e">
        <f>SUM('기능 개발 WBS'!#REF!)/COUNTA('기능 개발 WBS'!$F$32:$F$37)</f>
        <v>#REF!</v>
      </c>
      <c r="AF11" s="67" t="e">
        <f>SUM('기능 개발 WBS'!#REF!)/COUNTA('기능 개발 WBS'!$F$32:$F$37)</f>
        <v>#REF!</v>
      </c>
      <c r="AG11" s="81"/>
    </row>
    <row r="12" spans="1:33" ht="58.5" x14ac:dyDescent="0.3">
      <c r="A12" s="76"/>
      <c r="B12" s="7" t="s">
        <v>92</v>
      </c>
      <c r="C12" s="60" t="e">
        <f>SUM('기능 개발 WBS'!#REF!)/COUNTA('기능 개발 WBS'!#REF!)</f>
        <v>#REF!</v>
      </c>
      <c r="D12" s="67" t="e">
        <f>SUM('기능 개발 WBS'!#REF!)/COUNTA('기능 개발 WBS'!#REF!)</f>
        <v>#REF!</v>
      </c>
      <c r="E12" s="60" t="e">
        <f>SUM('기능 개발 WBS'!#REF!)/COUNTA('기능 개발 WBS'!#REF!)</f>
        <v>#REF!</v>
      </c>
      <c r="F12" s="67" t="e">
        <f>SUM('기능 개발 WBS'!#REF!)/COUNTA('기능 개발 WBS'!#REF!)</f>
        <v>#REF!</v>
      </c>
      <c r="G12" s="60" t="e">
        <f>SUM('기능 개발 WBS'!#REF!)/COUNTA('기능 개발 WBS'!#REF!)</f>
        <v>#REF!</v>
      </c>
      <c r="H12" s="67" t="e">
        <f>SUM('기능 개발 WBS'!#REF!)/COUNTA('기능 개발 WBS'!#REF!)</f>
        <v>#REF!</v>
      </c>
      <c r="I12" s="60" t="e">
        <f>SUM('기능 개발 WBS'!#REF!)/COUNTA('기능 개발 WBS'!#REF!)</f>
        <v>#REF!</v>
      </c>
      <c r="J12" s="67" t="e">
        <f>SUM('기능 개발 WBS'!#REF!)/COUNTA('기능 개발 WBS'!#REF!)</f>
        <v>#REF!</v>
      </c>
      <c r="K12" s="60" t="e">
        <f>SUM('기능 개발 WBS'!#REF!)/COUNTA('기능 개발 WBS'!#REF!)</f>
        <v>#REF!</v>
      </c>
      <c r="L12" s="67" t="e">
        <f>SUM('기능 개발 WBS'!#REF!)/COUNTA('기능 개발 WBS'!#REF!)</f>
        <v>#REF!</v>
      </c>
      <c r="M12" s="60" t="e">
        <f>SUM('기능 개발 WBS'!#REF!)/COUNTA('기능 개발 WBS'!#REF!)</f>
        <v>#REF!</v>
      </c>
      <c r="N12" s="67" t="e">
        <f>SUM('기능 개발 WBS'!#REF!)/COUNTA('기능 개발 WBS'!#REF!)</f>
        <v>#REF!</v>
      </c>
      <c r="O12" s="60" t="e">
        <f>SUM('기능 개발 WBS'!#REF!)/COUNTA('기능 개발 WBS'!#REF!)</f>
        <v>#REF!</v>
      </c>
      <c r="P12" s="67" t="e">
        <f>SUM('기능 개발 WBS'!#REF!)/COUNTA('기능 개발 WBS'!#REF!)</f>
        <v>#REF!</v>
      </c>
      <c r="Q12" s="60" t="e">
        <f>SUM('기능 개발 WBS'!#REF!)/COUNTA('기능 개발 WBS'!#REF!)</f>
        <v>#REF!</v>
      </c>
      <c r="R12" s="67" t="e">
        <f>SUM('기능 개발 WBS'!#REF!)/COUNTA('기능 개발 WBS'!#REF!)</f>
        <v>#REF!</v>
      </c>
      <c r="S12" s="60" t="e">
        <f>SUM('기능 개발 WBS'!#REF!)/COUNTA('기능 개발 WBS'!#REF!)</f>
        <v>#REF!</v>
      </c>
      <c r="T12" s="67" t="e">
        <f>SUM('기능 개발 WBS'!#REF!)/COUNTA('기능 개발 WBS'!#REF!)</f>
        <v>#REF!</v>
      </c>
      <c r="U12" s="60" t="e">
        <f>SUM('기능 개발 WBS'!#REF!)/COUNTA('기능 개발 WBS'!#REF!)</f>
        <v>#REF!</v>
      </c>
      <c r="V12" s="67" t="e">
        <f>SUM('기능 개발 WBS'!#REF!)/COUNTA('기능 개발 WBS'!#REF!)</f>
        <v>#REF!</v>
      </c>
      <c r="W12" s="60" t="e">
        <f>SUM('기능 개발 WBS'!#REF!)/COUNTA('기능 개발 WBS'!#REF!)</f>
        <v>#REF!</v>
      </c>
      <c r="X12" s="67" t="e">
        <f>SUM('기능 개발 WBS'!#REF!)/COUNTA('기능 개발 WBS'!#REF!)</f>
        <v>#REF!</v>
      </c>
      <c r="Y12" s="60" t="e">
        <f>SUM('기능 개발 WBS'!#REF!)/COUNTA('기능 개발 WBS'!#REF!)</f>
        <v>#REF!</v>
      </c>
      <c r="Z12" s="67" t="e">
        <f>SUM('기능 개발 WBS'!#REF!)/COUNTA('기능 개발 WBS'!#REF!)</f>
        <v>#REF!</v>
      </c>
      <c r="AA12" s="60" t="e">
        <f>SUM('기능 개발 WBS'!#REF!)/COUNTA('기능 개발 WBS'!#REF!)</f>
        <v>#REF!</v>
      </c>
      <c r="AB12" s="67" t="e">
        <f>SUM('기능 개발 WBS'!#REF!)/COUNTA('기능 개발 WBS'!#REF!)</f>
        <v>#REF!</v>
      </c>
      <c r="AC12" s="60" t="e">
        <f>SUM('기능 개발 WBS'!#REF!)/COUNTA('기능 개발 WBS'!#REF!)</f>
        <v>#REF!</v>
      </c>
      <c r="AD12" s="67" t="e">
        <f>SUM('기능 개발 WBS'!#REF!)/COUNTA('기능 개발 WBS'!#REF!)</f>
        <v>#REF!</v>
      </c>
      <c r="AE12" s="60" t="e">
        <f>SUM('기능 개발 WBS'!#REF!)/COUNTA('기능 개발 WBS'!#REF!)</f>
        <v>#REF!</v>
      </c>
      <c r="AF12" s="67" t="e">
        <f>SUM('기능 개발 WBS'!#REF!)/COUNTA('기능 개발 WBS'!#REF!)</f>
        <v>#REF!</v>
      </c>
      <c r="AG12" s="3" t="s">
        <v>121</v>
      </c>
    </row>
    <row r="18" spans="11:13" x14ac:dyDescent="0.3">
      <c r="K18" s="63"/>
    </row>
    <row r="19" spans="11:13" x14ac:dyDescent="0.3">
      <c r="K19" s="63"/>
      <c r="L19" s="64"/>
      <c r="M19" s="64"/>
    </row>
    <row r="20" spans="11:13" x14ac:dyDescent="0.3">
      <c r="K20" s="63"/>
    </row>
  </sheetData>
  <mergeCells count="84">
    <mergeCell ref="AE2:AF2"/>
    <mergeCell ref="AE3:AF3"/>
    <mergeCell ref="AE5:AF5"/>
    <mergeCell ref="AE6:AF6"/>
    <mergeCell ref="AE7:AF7"/>
    <mergeCell ref="AC2:AD2"/>
    <mergeCell ref="AC3:AD3"/>
    <mergeCell ref="AC5:AD5"/>
    <mergeCell ref="AC6:AD6"/>
    <mergeCell ref="AC7:AD7"/>
    <mergeCell ref="AA2:AB2"/>
    <mergeCell ref="AA3:AB3"/>
    <mergeCell ref="AA5:AB5"/>
    <mergeCell ref="AA6:AB6"/>
    <mergeCell ref="AA7:AB7"/>
    <mergeCell ref="W7:X7"/>
    <mergeCell ref="Y2:Z2"/>
    <mergeCell ref="Y3:Z3"/>
    <mergeCell ref="Y6:Z6"/>
    <mergeCell ref="Y7:Z7"/>
    <mergeCell ref="Y5:Z5"/>
    <mergeCell ref="O7:P7"/>
    <mergeCell ref="Q7:R7"/>
    <mergeCell ref="S7:T7"/>
    <mergeCell ref="U7:V7"/>
    <mergeCell ref="S5:T5"/>
    <mergeCell ref="U5:V5"/>
    <mergeCell ref="W2:X2"/>
    <mergeCell ref="W3:X3"/>
    <mergeCell ref="W5:X5"/>
    <mergeCell ref="U6:V6"/>
    <mergeCell ref="W6:X6"/>
    <mergeCell ref="S2:T2"/>
    <mergeCell ref="S3:T3"/>
    <mergeCell ref="S6:T6"/>
    <mergeCell ref="U2:V2"/>
    <mergeCell ref="U3:V3"/>
    <mergeCell ref="O2:P2"/>
    <mergeCell ref="O3:P3"/>
    <mergeCell ref="O6:P6"/>
    <mergeCell ref="Q2:R2"/>
    <mergeCell ref="Q3:R3"/>
    <mergeCell ref="Q6:R6"/>
    <mergeCell ref="O5:P5"/>
    <mergeCell ref="Q5:R5"/>
    <mergeCell ref="I2:J2"/>
    <mergeCell ref="I3:J3"/>
    <mergeCell ref="I6:J6"/>
    <mergeCell ref="C5:D5"/>
    <mergeCell ref="C7:D7"/>
    <mergeCell ref="E7:F7"/>
    <mergeCell ref="C6:D6"/>
    <mergeCell ref="I7:J7"/>
    <mergeCell ref="M2:N2"/>
    <mergeCell ref="M3:N3"/>
    <mergeCell ref="K5:L5"/>
    <mergeCell ref="K6:L6"/>
    <mergeCell ref="M6:N6"/>
    <mergeCell ref="K7:L7"/>
    <mergeCell ref="I5:J5"/>
    <mergeCell ref="M5:N5"/>
    <mergeCell ref="M7:N7"/>
    <mergeCell ref="A8:A12"/>
    <mergeCell ref="A5:A6"/>
    <mergeCell ref="AG8:AG11"/>
    <mergeCell ref="AG1:AG3"/>
    <mergeCell ref="AG5:AG6"/>
    <mergeCell ref="H1:N1"/>
    <mergeCell ref="P1:V1"/>
    <mergeCell ref="X1:AF1"/>
    <mergeCell ref="K3:L3"/>
    <mergeCell ref="K2:L2"/>
    <mergeCell ref="A1:A4"/>
    <mergeCell ref="C2:D2"/>
    <mergeCell ref="G2:H2"/>
    <mergeCell ref="G3:H3"/>
    <mergeCell ref="E6:F6"/>
    <mergeCell ref="G7:H7"/>
    <mergeCell ref="G6:H6"/>
    <mergeCell ref="E5:F5"/>
    <mergeCell ref="G5:H5"/>
    <mergeCell ref="C3:D3"/>
    <mergeCell ref="E2:F2"/>
    <mergeCell ref="E3:F3"/>
  </mergeCells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DR42"/>
  <sheetViews>
    <sheetView showGridLines="0" tabSelected="1" zoomScale="85" zoomScaleNormal="85" workbookViewId="0">
      <pane xSplit="10" ySplit="4" topLeftCell="O5" activePane="bottomRight" state="frozen"/>
      <selection pane="topRight" activeCell="K1" sqref="K1"/>
      <selection pane="bottomLeft" activeCell="A5" sqref="A5"/>
      <selection pane="bottomRight" activeCell="O24" sqref="O24"/>
    </sheetView>
  </sheetViews>
  <sheetFormatPr defaultColWidth="8.625" defaultRowHeight="15" x14ac:dyDescent="0.3"/>
  <cols>
    <col min="1" max="1" width="12.5" style="27" customWidth="1"/>
    <col min="2" max="2" width="20.125" style="27" customWidth="1"/>
    <col min="3" max="3" width="15.125" style="27" customWidth="1"/>
    <col min="4" max="4" width="26.5" style="27" bestFit="1" customWidth="1"/>
    <col min="5" max="5" width="16.125" style="27" hidden="1" customWidth="1"/>
    <col min="6" max="6" width="24.125" style="27" bestFit="1" customWidth="1"/>
    <col min="7" max="7" width="11.5" style="27" bestFit="1" customWidth="1"/>
    <col min="8" max="8" width="11.375" style="27" customWidth="1"/>
    <col min="9" max="9" width="10.875" style="27" customWidth="1"/>
    <col min="10" max="10" width="12.5" style="27" customWidth="1"/>
    <col min="11" max="11" width="9.5" style="17" bestFit="1" customWidth="1"/>
    <col min="12" max="12" width="6.25" style="17" bestFit="1" customWidth="1"/>
    <col min="13" max="13" width="10.25" style="17" bestFit="1" customWidth="1"/>
    <col min="14" max="14" width="9.5" style="16" bestFit="1" customWidth="1"/>
    <col min="15" max="15" width="8.625" style="17" bestFit="1" customWidth="1"/>
    <col min="16" max="17" width="8.625" style="17" customWidth="1"/>
    <col min="18" max="18" width="10.25" style="17" bestFit="1" customWidth="1"/>
    <col min="19" max="19" width="9.5" style="17" bestFit="1" customWidth="1"/>
    <col min="20" max="20" width="5.625" style="17" bestFit="1" customWidth="1"/>
    <col min="21" max="21" width="10.25" style="17" bestFit="1" customWidth="1"/>
    <col min="22" max="22" width="9.5" style="16" bestFit="1" customWidth="1"/>
    <col min="23" max="23" width="8.625" style="17" bestFit="1" customWidth="1"/>
    <col min="24" max="25" width="8.625" style="17" customWidth="1"/>
    <col min="26" max="26" width="10.25" style="17" bestFit="1" customWidth="1"/>
    <col min="27" max="27" width="9.5" style="17" bestFit="1" customWidth="1"/>
    <col min="28" max="28" width="5.625" style="17" bestFit="1" customWidth="1"/>
    <col min="29" max="29" width="10.25" style="17" bestFit="1" customWidth="1"/>
    <col min="30" max="30" width="9.5" style="16" bestFit="1" customWidth="1"/>
    <col min="31" max="31" width="8.625" style="17" bestFit="1" customWidth="1"/>
    <col min="32" max="33" width="8.625" style="17" customWidth="1"/>
    <col min="34" max="34" width="10.25" style="17" bestFit="1" customWidth="1"/>
    <col min="35" max="35" width="9.5" style="17" bestFit="1" customWidth="1"/>
    <col min="36" max="36" width="7.125" style="17" bestFit="1" customWidth="1"/>
    <col min="37" max="37" width="12.125" style="17" bestFit="1" customWidth="1"/>
    <col min="38" max="38" width="10.25" style="16" bestFit="1" customWidth="1"/>
    <col min="39" max="39" width="10.25" style="17" bestFit="1" customWidth="1"/>
    <col min="40" max="41" width="8.625" style="17" customWidth="1"/>
    <col min="42" max="42" width="12.125" style="17" bestFit="1" customWidth="1"/>
    <col min="43" max="43" width="9.5" style="17" bestFit="1" customWidth="1"/>
    <col min="44" max="44" width="7.125" style="17" bestFit="1" customWidth="1"/>
    <col min="45" max="45" width="12.125" style="17" bestFit="1" customWidth="1"/>
    <col min="46" max="46" width="10.625" style="16" bestFit="1" customWidth="1"/>
    <col min="47" max="47" width="10.25" style="17" bestFit="1" customWidth="1"/>
    <col min="48" max="48" width="10.125" style="17" bestFit="1" customWidth="1"/>
    <col min="49" max="49" width="8.625" style="17" customWidth="1"/>
    <col min="50" max="50" width="12.125" style="17" bestFit="1" customWidth="1"/>
    <col min="51" max="51" width="9.5" style="27" bestFit="1" customWidth="1"/>
    <col min="52" max="52" width="7.125" style="27" bestFit="1" customWidth="1"/>
    <col min="53" max="53" width="12.125" style="16" bestFit="1" customWidth="1"/>
    <col min="54" max="54" width="10.625" style="16" bestFit="1" customWidth="1"/>
    <col min="55" max="55" width="10.25" style="16" bestFit="1" customWidth="1"/>
    <col min="56" max="56" width="10.125" style="17" bestFit="1" customWidth="1"/>
    <col min="57" max="57" width="8.625" style="17" customWidth="1"/>
    <col min="58" max="58" width="12.125" style="32" bestFit="1" customWidth="1"/>
    <col min="59" max="59" width="9.5" style="27" bestFit="1" customWidth="1"/>
    <col min="60" max="60" width="5.625" style="27" bestFit="1" customWidth="1"/>
    <col min="61" max="61" width="10.25" style="16" bestFit="1" customWidth="1"/>
    <col min="62" max="62" width="10.625" style="16" bestFit="1" customWidth="1"/>
    <col min="63" max="63" width="8.625" style="16" bestFit="1" customWidth="1"/>
    <col min="64" max="64" width="10.125" style="17" bestFit="1" customWidth="1"/>
    <col min="65" max="65" width="8.625" style="17" customWidth="1"/>
    <col min="66" max="66" width="10.25" style="32" bestFit="1" customWidth="1"/>
    <col min="67" max="67" width="9.5" style="17" bestFit="1" customWidth="1"/>
    <col min="68" max="68" width="7.125" style="17" bestFit="1" customWidth="1"/>
    <col min="69" max="69" width="12.125" style="17" bestFit="1" customWidth="1"/>
    <col min="70" max="70" width="10.625" style="16" bestFit="1" customWidth="1"/>
    <col min="71" max="71" width="10.25" style="17" bestFit="1" customWidth="1"/>
    <col min="72" max="72" width="10.125" style="17" bestFit="1" customWidth="1"/>
    <col min="73" max="73" width="8.625" style="17" customWidth="1"/>
    <col min="74" max="74" width="11.625" style="17" bestFit="1" customWidth="1"/>
    <col min="75" max="75" width="9.5" style="17" bestFit="1" customWidth="1"/>
    <col min="76" max="76" width="7.125" style="17" bestFit="1" customWidth="1"/>
    <col min="77" max="77" width="12.125" style="17" bestFit="1" customWidth="1"/>
    <col min="78" max="78" width="10.625" style="16" bestFit="1" customWidth="1"/>
    <col min="79" max="79" width="10.25" style="17" bestFit="1" customWidth="1"/>
    <col min="80" max="80" width="10.125" style="17" bestFit="1" customWidth="1"/>
    <col min="81" max="81" width="8.625" style="17" customWidth="1"/>
    <col min="82" max="82" width="12.125" style="17" bestFit="1" customWidth="1"/>
    <col min="83" max="83" width="9.5" style="17" bestFit="1" customWidth="1"/>
    <col min="84" max="84" width="7.125" style="17" bestFit="1" customWidth="1"/>
    <col min="85" max="85" width="12.125" style="17" bestFit="1" customWidth="1"/>
    <col min="86" max="86" width="10.625" style="16" bestFit="1" customWidth="1"/>
    <col min="87" max="87" width="10.25" style="17" bestFit="1" customWidth="1"/>
    <col min="88" max="88" width="10.125" style="17" bestFit="1" customWidth="1"/>
    <col min="89" max="89" width="8.625" style="17" customWidth="1"/>
    <col min="90" max="90" width="12.125" style="17" bestFit="1" customWidth="1"/>
    <col min="91" max="91" width="9.5" style="17" bestFit="1" customWidth="1"/>
    <col min="92" max="92" width="7.125" style="17" bestFit="1" customWidth="1"/>
    <col min="93" max="93" width="12.125" style="17" bestFit="1" customWidth="1"/>
    <col min="94" max="94" width="10.625" style="16" bestFit="1" customWidth="1"/>
    <col min="95" max="95" width="10.25" style="17" bestFit="1" customWidth="1"/>
    <col min="96" max="96" width="10.125" style="17" bestFit="1" customWidth="1"/>
    <col min="97" max="97" width="8.625" style="17" customWidth="1"/>
    <col min="98" max="98" width="12.125" style="17" bestFit="1" customWidth="1"/>
    <col min="99" max="99" width="9.5" style="17" bestFit="1" customWidth="1"/>
    <col min="100" max="100" width="9.125" style="17" bestFit="1" customWidth="1"/>
    <col min="101" max="101" width="9" style="17" customWidth="1"/>
    <col min="102" max="102" width="10.625" style="16" bestFit="1" customWidth="1"/>
    <col min="103" max="103" width="10.25" style="17" bestFit="1" customWidth="1"/>
    <col min="104" max="104" width="10.125" style="17" bestFit="1" customWidth="1"/>
    <col min="105" max="105" width="8.625" style="17" customWidth="1"/>
    <col min="106" max="106" width="12.125" style="17" bestFit="1" customWidth="1"/>
    <col min="107" max="107" width="9.5" style="17" bestFit="1" customWidth="1"/>
    <col min="108" max="108" width="9.125" style="17" bestFit="1" customWidth="1"/>
    <col min="109" max="109" width="12.125" style="17" bestFit="1" customWidth="1"/>
    <col min="110" max="110" width="10.625" style="16" bestFit="1" customWidth="1"/>
    <col min="111" max="111" width="10.25" style="17" bestFit="1" customWidth="1"/>
    <col min="112" max="112" width="10.125" style="17" bestFit="1" customWidth="1"/>
    <col min="113" max="113" width="8.625" style="17" customWidth="1"/>
    <col min="114" max="114" width="12.125" style="17" bestFit="1" customWidth="1"/>
    <col min="115" max="115" width="9.5" style="17" bestFit="1" customWidth="1"/>
    <col min="116" max="116" width="9.125" style="17" bestFit="1" customWidth="1"/>
    <col min="117" max="117" width="11.625" style="17" bestFit="1" customWidth="1"/>
    <col min="118" max="118" width="10.625" style="16" bestFit="1" customWidth="1"/>
    <col min="119" max="119" width="10.25" style="17" bestFit="1" customWidth="1"/>
    <col min="120" max="120" width="10.125" style="17" bestFit="1" customWidth="1"/>
    <col min="121" max="121" width="8.625" style="17" customWidth="1"/>
    <col min="122" max="122" width="12.125" style="17" bestFit="1" customWidth="1"/>
    <col min="123" max="124" width="12.625" style="17" bestFit="1" customWidth="1"/>
    <col min="125" max="16384" width="8.625" style="17"/>
  </cols>
  <sheetData>
    <row r="1" spans="1:122" s="10" customFormat="1" ht="28.9" customHeight="1" x14ac:dyDescent="0.3">
      <c r="A1" s="8" t="s">
        <v>51</v>
      </c>
      <c r="B1" s="8"/>
      <c r="C1" s="8"/>
      <c r="D1" s="8"/>
      <c r="E1" s="8"/>
      <c r="F1" s="8"/>
      <c r="G1" s="69"/>
      <c r="H1" s="69"/>
      <c r="I1" s="69"/>
      <c r="J1" s="6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9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</row>
    <row r="2" spans="1:122" s="12" customFormat="1" ht="19.5" thickBot="1" x14ac:dyDescent="0.35">
      <c r="A2" s="11"/>
      <c r="K2" s="13"/>
      <c r="N2" s="14"/>
      <c r="S2" s="13"/>
      <c r="V2" s="14"/>
      <c r="AD2" s="14"/>
      <c r="AL2" s="14"/>
      <c r="AT2" s="14"/>
      <c r="AY2" s="13"/>
      <c r="BA2" s="14"/>
      <c r="BB2" s="14"/>
      <c r="BC2" s="14"/>
      <c r="BF2" s="15"/>
      <c r="BI2" s="14"/>
      <c r="BJ2" s="14"/>
      <c r="BK2" s="14"/>
      <c r="BN2" s="15"/>
      <c r="BR2" s="14"/>
      <c r="BZ2" s="14"/>
      <c r="CE2" s="13"/>
      <c r="CH2" s="14"/>
      <c r="CM2" s="13"/>
      <c r="CP2" s="14"/>
      <c r="CX2" s="14"/>
      <c r="DF2" s="16"/>
      <c r="DN2" s="14"/>
    </row>
    <row r="3" spans="1:122" ht="18" customHeight="1" x14ac:dyDescent="0.3">
      <c r="A3" s="118" t="s">
        <v>42</v>
      </c>
      <c r="B3" s="119" t="s">
        <v>12</v>
      </c>
      <c r="C3" s="119" t="s">
        <v>13</v>
      </c>
      <c r="D3" s="119" t="s">
        <v>40</v>
      </c>
      <c r="E3" s="125" t="s">
        <v>38</v>
      </c>
      <c r="F3" s="119" t="s">
        <v>39</v>
      </c>
      <c r="G3" s="119" t="s">
        <v>0</v>
      </c>
      <c r="H3" s="119" t="s">
        <v>1</v>
      </c>
      <c r="I3" s="125" t="s">
        <v>2</v>
      </c>
      <c r="J3" s="127" t="s">
        <v>3</v>
      </c>
      <c r="K3" s="116" t="s">
        <v>109</v>
      </c>
      <c r="L3" s="117"/>
      <c r="M3" s="117"/>
      <c r="N3" s="117"/>
      <c r="O3" s="117"/>
      <c r="P3" s="117"/>
      <c r="Q3" s="117"/>
      <c r="R3" s="117"/>
      <c r="S3" s="116" t="s">
        <v>48</v>
      </c>
      <c r="T3" s="117"/>
      <c r="U3" s="117"/>
      <c r="V3" s="117"/>
      <c r="W3" s="117"/>
      <c r="X3" s="117"/>
      <c r="Y3" s="117"/>
      <c r="Z3" s="117"/>
      <c r="AA3" s="116" t="s">
        <v>49</v>
      </c>
      <c r="AB3" s="117"/>
      <c r="AC3" s="117"/>
      <c r="AD3" s="117"/>
      <c r="AE3" s="117"/>
      <c r="AF3" s="117"/>
      <c r="AG3" s="117"/>
      <c r="AH3" s="117"/>
      <c r="AI3" s="114" t="s">
        <v>50</v>
      </c>
      <c r="AJ3" s="115"/>
      <c r="AK3" s="115"/>
      <c r="AL3" s="115"/>
      <c r="AM3" s="115"/>
      <c r="AN3" s="115"/>
      <c r="AO3" s="115"/>
      <c r="AP3" s="115"/>
      <c r="AQ3" s="114" t="s">
        <v>110</v>
      </c>
      <c r="AR3" s="115"/>
      <c r="AS3" s="115"/>
      <c r="AT3" s="115"/>
      <c r="AU3" s="115"/>
      <c r="AV3" s="115"/>
      <c r="AW3" s="115"/>
      <c r="AX3" s="115"/>
      <c r="AY3" s="118" t="s">
        <v>111</v>
      </c>
      <c r="AZ3" s="119"/>
      <c r="BA3" s="119"/>
      <c r="BB3" s="119"/>
      <c r="BC3" s="119"/>
      <c r="BD3" s="119"/>
      <c r="BE3" s="119"/>
      <c r="BF3" s="119"/>
      <c r="BG3" s="118" t="s">
        <v>112</v>
      </c>
      <c r="BH3" s="119"/>
      <c r="BI3" s="119"/>
      <c r="BJ3" s="119"/>
      <c r="BK3" s="119"/>
      <c r="BL3" s="119"/>
      <c r="BM3" s="119"/>
      <c r="BN3" s="119"/>
      <c r="BO3" s="118" t="s">
        <v>113</v>
      </c>
      <c r="BP3" s="119"/>
      <c r="BQ3" s="119"/>
      <c r="BR3" s="119"/>
      <c r="BS3" s="119"/>
      <c r="BT3" s="119"/>
      <c r="BU3" s="119"/>
      <c r="BV3" s="119"/>
      <c r="BW3" s="118" t="s">
        <v>114</v>
      </c>
      <c r="BX3" s="119"/>
      <c r="BY3" s="119"/>
      <c r="BZ3" s="119"/>
      <c r="CA3" s="119"/>
      <c r="CB3" s="119"/>
      <c r="CC3" s="119"/>
      <c r="CD3" s="119"/>
      <c r="CE3" s="116" t="s">
        <v>115</v>
      </c>
      <c r="CF3" s="117"/>
      <c r="CG3" s="117"/>
      <c r="CH3" s="117"/>
      <c r="CI3" s="117"/>
      <c r="CJ3" s="117"/>
      <c r="CK3" s="117"/>
      <c r="CL3" s="117"/>
      <c r="CM3" s="114" t="s">
        <v>116</v>
      </c>
      <c r="CN3" s="115"/>
      <c r="CO3" s="115"/>
      <c r="CP3" s="115"/>
      <c r="CQ3" s="115"/>
      <c r="CR3" s="115"/>
      <c r="CS3" s="115"/>
      <c r="CT3" s="115"/>
      <c r="CU3" s="116" t="s">
        <v>117</v>
      </c>
      <c r="CV3" s="117"/>
      <c r="CW3" s="117"/>
      <c r="CX3" s="117"/>
      <c r="CY3" s="117"/>
      <c r="CZ3" s="117"/>
      <c r="DA3" s="117"/>
      <c r="DB3" s="117"/>
      <c r="DC3" s="114" t="s">
        <v>118</v>
      </c>
      <c r="DD3" s="115"/>
      <c r="DE3" s="115"/>
      <c r="DF3" s="115"/>
      <c r="DG3" s="115"/>
      <c r="DH3" s="115"/>
      <c r="DI3" s="115"/>
      <c r="DJ3" s="115"/>
      <c r="DK3" s="116" t="s">
        <v>119</v>
      </c>
      <c r="DL3" s="117"/>
      <c r="DM3" s="117"/>
      <c r="DN3" s="117"/>
      <c r="DO3" s="117"/>
      <c r="DP3" s="117"/>
      <c r="DQ3" s="117"/>
      <c r="DR3" s="117"/>
    </row>
    <row r="4" spans="1:122" ht="18" customHeight="1" x14ac:dyDescent="0.3">
      <c r="A4" s="123"/>
      <c r="B4" s="124"/>
      <c r="C4" s="124"/>
      <c r="D4" s="124"/>
      <c r="E4" s="124"/>
      <c r="F4" s="124"/>
      <c r="G4" s="124"/>
      <c r="H4" s="124"/>
      <c r="I4" s="126"/>
      <c r="J4" s="128"/>
      <c r="K4" s="51" t="s">
        <v>0</v>
      </c>
      <c r="L4" s="33" t="s">
        <v>4</v>
      </c>
      <c r="M4" s="34" t="s">
        <v>5</v>
      </c>
      <c r="N4" s="35" t="s">
        <v>6</v>
      </c>
      <c r="O4" s="36" t="s">
        <v>7</v>
      </c>
      <c r="P4" s="36" t="s">
        <v>8</v>
      </c>
      <c r="Q4" s="35" t="s">
        <v>9</v>
      </c>
      <c r="R4" s="37" t="s">
        <v>10</v>
      </c>
      <c r="S4" s="51" t="s">
        <v>0</v>
      </c>
      <c r="T4" s="33" t="s">
        <v>4</v>
      </c>
      <c r="U4" s="34" t="s">
        <v>5</v>
      </c>
      <c r="V4" s="35" t="s">
        <v>6</v>
      </c>
      <c r="W4" s="36" t="s">
        <v>7</v>
      </c>
      <c r="X4" s="36" t="s">
        <v>8</v>
      </c>
      <c r="Y4" s="35" t="s">
        <v>9</v>
      </c>
      <c r="Z4" s="37" t="s">
        <v>10</v>
      </c>
      <c r="AA4" s="51" t="s">
        <v>0</v>
      </c>
      <c r="AB4" s="33" t="s">
        <v>4</v>
      </c>
      <c r="AC4" s="34" t="s">
        <v>5</v>
      </c>
      <c r="AD4" s="35" t="s">
        <v>6</v>
      </c>
      <c r="AE4" s="36" t="s">
        <v>7</v>
      </c>
      <c r="AF4" s="36" t="s">
        <v>8</v>
      </c>
      <c r="AG4" s="35" t="s">
        <v>9</v>
      </c>
      <c r="AH4" s="37" t="s">
        <v>10</v>
      </c>
      <c r="AI4" s="51" t="s">
        <v>0</v>
      </c>
      <c r="AJ4" s="33" t="s">
        <v>4</v>
      </c>
      <c r="AK4" s="34" t="s">
        <v>5</v>
      </c>
      <c r="AL4" s="35" t="s">
        <v>6</v>
      </c>
      <c r="AM4" s="36" t="s">
        <v>7</v>
      </c>
      <c r="AN4" s="36" t="s">
        <v>8</v>
      </c>
      <c r="AO4" s="35" t="s">
        <v>9</v>
      </c>
      <c r="AP4" s="37" t="s">
        <v>10</v>
      </c>
      <c r="AQ4" s="51" t="s">
        <v>0</v>
      </c>
      <c r="AR4" s="33" t="s">
        <v>4</v>
      </c>
      <c r="AS4" s="34" t="s">
        <v>5</v>
      </c>
      <c r="AT4" s="35" t="s">
        <v>6</v>
      </c>
      <c r="AU4" s="36" t="s">
        <v>7</v>
      </c>
      <c r="AV4" s="36" t="s">
        <v>8</v>
      </c>
      <c r="AW4" s="35" t="s">
        <v>9</v>
      </c>
      <c r="AX4" s="37" t="s">
        <v>10</v>
      </c>
      <c r="AY4" s="57" t="s">
        <v>0</v>
      </c>
      <c r="AZ4" s="38" t="s">
        <v>4</v>
      </c>
      <c r="BA4" s="39" t="s">
        <v>5</v>
      </c>
      <c r="BB4" s="40" t="s">
        <v>6</v>
      </c>
      <c r="BC4" s="41" t="s">
        <v>7</v>
      </c>
      <c r="BD4" s="42" t="s">
        <v>8</v>
      </c>
      <c r="BE4" s="40" t="s">
        <v>9</v>
      </c>
      <c r="BF4" s="43" t="s">
        <v>10</v>
      </c>
      <c r="BG4" s="57" t="s">
        <v>0</v>
      </c>
      <c r="BH4" s="38" t="s">
        <v>4</v>
      </c>
      <c r="BI4" s="39" t="s">
        <v>5</v>
      </c>
      <c r="BJ4" s="40" t="s">
        <v>6</v>
      </c>
      <c r="BK4" s="41" t="s">
        <v>7</v>
      </c>
      <c r="BL4" s="42" t="s">
        <v>8</v>
      </c>
      <c r="BM4" s="40" t="s">
        <v>9</v>
      </c>
      <c r="BN4" s="43" t="s">
        <v>10</v>
      </c>
      <c r="BO4" s="57" t="s">
        <v>0</v>
      </c>
      <c r="BP4" s="38" t="s">
        <v>4</v>
      </c>
      <c r="BQ4" s="39" t="s">
        <v>5</v>
      </c>
      <c r="BR4" s="40" t="s">
        <v>6</v>
      </c>
      <c r="BS4" s="42" t="s">
        <v>7</v>
      </c>
      <c r="BT4" s="42" t="s">
        <v>8</v>
      </c>
      <c r="BU4" s="40" t="s">
        <v>9</v>
      </c>
      <c r="BV4" s="43" t="s">
        <v>10</v>
      </c>
      <c r="BW4" s="57" t="s">
        <v>0</v>
      </c>
      <c r="BX4" s="38" t="s">
        <v>4</v>
      </c>
      <c r="BY4" s="39" t="s">
        <v>5</v>
      </c>
      <c r="BZ4" s="40" t="s">
        <v>6</v>
      </c>
      <c r="CA4" s="42" t="s">
        <v>7</v>
      </c>
      <c r="CB4" s="42" t="s">
        <v>8</v>
      </c>
      <c r="CC4" s="40" t="s">
        <v>9</v>
      </c>
      <c r="CD4" s="43" t="s">
        <v>10</v>
      </c>
      <c r="CE4" s="51" t="s">
        <v>0</v>
      </c>
      <c r="CF4" s="33" t="s">
        <v>4</v>
      </c>
      <c r="CG4" s="34" t="s">
        <v>5</v>
      </c>
      <c r="CH4" s="35" t="s">
        <v>6</v>
      </c>
      <c r="CI4" s="36" t="s">
        <v>7</v>
      </c>
      <c r="CJ4" s="36" t="s">
        <v>8</v>
      </c>
      <c r="CK4" s="35" t="s">
        <v>9</v>
      </c>
      <c r="CL4" s="37" t="s">
        <v>10</v>
      </c>
      <c r="CM4" s="51" t="s">
        <v>0</v>
      </c>
      <c r="CN4" s="33" t="s">
        <v>4</v>
      </c>
      <c r="CO4" s="34" t="s">
        <v>5</v>
      </c>
      <c r="CP4" s="35" t="s">
        <v>6</v>
      </c>
      <c r="CQ4" s="36" t="s">
        <v>7</v>
      </c>
      <c r="CR4" s="36" t="s">
        <v>8</v>
      </c>
      <c r="CS4" s="35" t="s">
        <v>9</v>
      </c>
      <c r="CT4" s="37" t="s">
        <v>10</v>
      </c>
      <c r="CU4" s="51" t="s">
        <v>0</v>
      </c>
      <c r="CV4" s="33" t="s">
        <v>4</v>
      </c>
      <c r="CW4" s="34" t="s">
        <v>5</v>
      </c>
      <c r="CX4" s="35" t="s">
        <v>6</v>
      </c>
      <c r="CY4" s="36" t="s">
        <v>7</v>
      </c>
      <c r="CZ4" s="36" t="s">
        <v>8</v>
      </c>
      <c r="DA4" s="35" t="s">
        <v>9</v>
      </c>
      <c r="DB4" s="37" t="s">
        <v>10</v>
      </c>
      <c r="DC4" s="51" t="s">
        <v>0</v>
      </c>
      <c r="DD4" s="33" t="s">
        <v>4</v>
      </c>
      <c r="DE4" s="34" t="s">
        <v>5</v>
      </c>
      <c r="DF4" s="35" t="s">
        <v>6</v>
      </c>
      <c r="DG4" s="36" t="s">
        <v>7</v>
      </c>
      <c r="DH4" s="36" t="s">
        <v>8</v>
      </c>
      <c r="DI4" s="35" t="s">
        <v>9</v>
      </c>
      <c r="DJ4" s="37" t="s">
        <v>10</v>
      </c>
      <c r="DK4" s="51" t="s">
        <v>0</v>
      </c>
      <c r="DL4" s="33" t="s">
        <v>4</v>
      </c>
      <c r="DM4" s="34" t="s">
        <v>5</v>
      </c>
      <c r="DN4" s="35" t="s">
        <v>6</v>
      </c>
      <c r="DO4" s="36" t="s">
        <v>7</v>
      </c>
      <c r="DP4" s="36" t="s">
        <v>8</v>
      </c>
      <c r="DQ4" s="35" t="s">
        <v>9</v>
      </c>
      <c r="DR4" s="37" t="s">
        <v>10</v>
      </c>
    </row>
    <row r="5" spans="1:122" ht="18" customHeight="1" x14ac:dyDescent="0.3">
      <c r="A5" s="107" t="s">
        <v>46</v>
      </c>
      <c r="B5" s="104" t="s">
        <v>52</v>
      </c>
      <c r="C5" s="104" t="s">
        <v>57</v>
      </c>
      <c r="D5" s="133" t="s">
        <v>70</v>
      </c>
      <c r="E5" s="21"/>
      <c r="F5" s="18" t="s">
        <v>14</v>
      </c>
      <c r="G5" s="70">
        <v>1</v>
      </c>
      <c r="H5" s="71">
        <v>1</v>
      </c>
      <c r="I5" s="71">
        <f t="shared" ref="I5:I37" si="0">SUM(L5+T5+AB5+AJ5+AR5+AZ5+BH5+BP5+BX5+CF5+CN5+CV5+DD5+DL5+DT5+EB5+EJ5+ER5+EZ5+FI5+FR5+GB5+GL5+GV5+HF5+HP5+HZ5+IJ5+IT5+JD5+JN5+JX5+KH5+KR5+LB5+LL5+LV5+MF5+MP5+MZ5)</f>
        <v>0</v>
      </c>
      <c r="J5" s="58">
        <f t="shared" ref="J5" si="1">IFERROR(IF((I5/H5)&gt;=1,100%,(I5/H5)),0%)</f>
        <v>0</v>
      </c>
      <c r="K5" s="52">
        <v>0</v>
      </c>
      <c r="L5" s="19">
        <v>0</v>
      </c>
      <c r="M5" s="47">
        <f t="shared" ref="M5" si="2">IFERROR(IF((L5/K5)&gt;=1,100%,(L5/K5)),0%)</f>
        <v>0</v>
      </c>
      <c r="N5" s="46">
        <f t="shared" ref="N5" si="3">+K5</f>
        <v>0</v>
      </c>
      <c r="O5" s="46">
        <f t="shared" ref="O5" si="4">+L5</f>
        <v>0</v>
      </c>
      <c r="P5" s="46">
        <f t="shared" ref="P5" si="5">O5-N5</f>
        <v>0</v>
      </c>
      <c r="Q5" s="45">
        <f t="shared" ref="Q5" si="6">N5/$G5</f>
        <v>0</v>
      </c>
      <c r="R5" s="45">
        <f t="shared" ref="R5" si="7">O5/$G5</f>
        <v>0</v>
      </c>
      <c r="S5" s="52">
        <v>0</v>
      </c>
      <c r="T5" s="19">
        <v>0</v>
      </c>
      <c r="U5" s="47">
        <f t="shared" ref="U5" si="8">IFERROR(IF((T5/S5)&gt;=1,100%,(T5/S5)),0%)</f>
        <v>0</v>
      </c>
      <c r="V5" s="46">
        <f t="shared" ref="V5:V23" si="9">N5+S5</f>
        <v>0</v>
      </c>
      <c r="W5" s="46">
        <f t="shared" ref="W5:W23" si="10">O5+T5</f>
        <v>0</v>
      </c>
      <c r="X5" s="46">
        <f t="shared" ref="X5" si="11">W5-V5</f>
        <v>0</v>
      </c>
      <c r="Y5" s="45">
        <f t="shared" ref="Y5" si="12">V5/$G5</f>
        <v>0</v>
      </c>
      <c r="Z5" s="45">
        <f t="shared" ref="Z5" si="13">W5/$G5</f>
        <v>0</v>
      </c>
      <c r="AA5" s="52">
        <v>0</v>
      </c>
      <c r="AB5" s="19">
        <v>0</v>
      </c>
      <c r="AC5" s="47">
        <f t="shared" ref="AC5" si="14">IFERROR(IF((AB5/AA5)&gt;=1,100%,(AB5/AA5)),0%)</f>
        <v>0</v>
      </c>
      <c r="AD5" s="46">
        <f t="shared" ref="AD5:AD23" si="15">V5+AA5</f>
        <v>0</v>
      </c>
      <c r="AE5" s="46">
        <f t="shared" ref="AE5:AE23" si="16">W5+AB5</f>
        <v>0</v>
      </c>
      <c r="AF5" s="46">
        <f t="shared" ref="AF5" si="17">AE5-AD5</f>
        <v>0</v>
      </c>
      <c r="AG5" s="45">
        <f t="shared" ref="AG5" si="18">AD5/$G5</f>
        <v>0</v>
      </c>
      <c r="AH5" s="45">
        <f t="shared" ref="AH5" si="19">AE5/$G5</f>
        <v>0</v>
      </c>
      <c r="AI5" s="52">
        <v>0</v>
      </c>
      <c r="AJ5" s="19">
        <v>0</v>
      </c>
      <c r="AK5" s="47">
        <f t="shared" ref="AK5" si="20">IFERROR(IF((AJ5/AI5)&gt;=1,100%,(AJ5/AI5)),0%)</f>
        <v>0</v>
      </c>
      <c r="AL5" s="46">
        <f t="shared" ref="AL5:AL23" si="21">AD5+AI5</f>
        <v>0</v>
      </c>
      <c r="AM5" s="46">
        <f t="shared" ref="AM5:AM23" si="22">AE5+AJ5</f>
        <v>0</v>
      </c>
      <c r="AN5" s="46">
        <f t="shared" ref="AN5" si="23">AM5-AL5</f>
        <v>0</v>
      </c>
      <c r="AO5" s="45">
        <f t="shared" ref="AO5" si="24">AL5/$G5</f>
        <v>0</v>
      </c>
      <c r="AP5" s="45">
        <f t="shared" ref="AP5" si="25">AM5/$G5</f>
        <v>0</v>
      </c>
      <c r="AQ5" s="52">
        <v>0</v>
      </c>
      <c r="AR5" s="52">
        <v>0</v>
      </c>
      <c r="AS5" s="47">
        <f t="shared" ref="AS5" si="26">IFERROR(IF((AR5/AQ5)&gt;=1,100%,(AR5/AQ5)),0%)</f>
        <v>0</v>
      </c>
      <c r="AT5" s="46">
        <f t="shared" ref="AT5:AT23" si="27">AL5+AQ5</f>
        <v>0</v>
      </c>
      <c r="AU5" s="46">
        <f t="shared" ref="AU5:AU23" si="28">AM5+AR5</f>
        <v>0</v>
      </c>
      <c r="AV5" s="46">
        <f t="shared" ref="AV5" si="29">AU5-AT5</f>
        <v>0</v>
      </c>
      <c r="AW5" s="45">
        <f t="shared" ref="AW5" si="30">AT5/$G5</f>
        <v>0</v>
      </c>
      <c r="AX5" s="45">
        <f t="shared" ref="AX5" si="31">AU5/$G5</f>
        <v>0</v>
      </c>
      <c r="AY5" s="52">
        <v>0</v>
      </c>
      <c r="AZ5" s="52">
        <v>0</v>
      </c>
      <c r="BA5" s="47">
        <f t="shared" ref="BA5" si="32">IFERROR(IF((AZ5/AY5)&gt;=1,100%,(AZ5/AY5)),0%)</f>
        <v>0</v>
      </c>
      <c r="BB5" s="46">
        <f t="shared" ref="BB5:BB23" si="33">AT5+AY5</f>
        <v>0</v>
      </c>
      <c r="BC5" s="46">
        <f t="shared" ref="BC5:BC23" si="34">AU5+AZ5</f>
        <v>0</v>
      </c>
      <c r="BD5" s="46">
        <f t="shared" ref="BD5" si="35">BC5-BB5</f>
        <v>0</v>
      </c>
      <c r="BE5" s="45">
        <f t="shared" ref="BE5" si="36">BB5/$G5</f>
        <v>0</v>
      </c>
      <c r="BF5" s="45">
        <f t="shared" ref="BF5" si="37">BC5/$G5</f>
        <v>0</v>
      </c>
      <c r="BG5" s="52">
        <v>0</v>
      </c>
      <c r="BH5" s="52">
        <v>0</v>
      </c>
      <c r="BI5" s="47">
        <f t="shared" ref="BI5" si="38">IFERROR(IF((BH5/BG5)&gt;=1,100%,(BH5/BG5)),0%)</f>
        <v>0</v>
      </c>
      <c r="BJ5" s="46">
        <f t="shared" ref="BJ5:BJ23" si="39">BB5+BG5</f>
        <v>0</v>
      </c>
      <c r="BK5" s="46">
        <f t="shared" ref="BK5:BK13" si="40">BC5+BH5</f>
        <v>0</v>
      </c>
      <c r="BL5" s="46">
        <f t="shared" ref="BL5" si="41">BK5-BJ5</f>
        <v>0</v>
      </c>
      <c r="BM5" s="45">
        <f t="shared" ref="BM5" si="42">BJ5/$G5</f>
        <v>0</v>
      </c>
      <c r="BN5" s="45">
        <f t="shared" ref="BN5" si="43">BK5/$G5</f>
        <v>0</v>
      </c>
      <c r="BO5" s="52">
        <v>0</v>
      </c>
      <c r="BP5" s="52">
        <v>0</v>
      </c>
      <c r="BQ5" s="47">
        <f t="shared" ref="BQ5" si="44">IFERROR(IF((BP5/BO5)&gt;=1,100%,(BP5/BO5)),0%)</f>
        <v>0</v>
      </c>
      <c r="BR5" s="46">
        <f t="shared" ref="BR5:BR23" si="45">BJ5+BO5</f>
        <v>0</v>
      </c>
      <c r="BS5" s="46">
        <f t="shared" ref="BS5:BS23" si="46">BK5+BP5</f>
        <v>0</v>
      </c>
      <c r="BT5" s="46">
        <f t="shared" ref="BT5" si="47">BS5-BR5</f>
        <v>0</v>
      </c>
      <c r="BU5" s="45">
        <f t="shared" ref="BU5" si="48">BR5/$G5</f>
        <v>0</v>
      </c>
      <c r="BV5" s="45">
        <f t="shared" ref="BV5" si="49">BS5/$G5</f>
        <v>0</v>
      </c>
      <c r="BW5" s="52">
        <v>0</v>
      </c>
      <c r="BX5" s="19">
        <v>0</v>
      </c>
      <c r="BY5" s="47">
        <f t="shared" ref="BY5" si="50">IFERROR(IF((BX5/BW5)&gt;=1,100%,(BX5/BW5)),0%)</f>
        <v>0</v>
      </c>
      <c r="BZ5" s="46">
        <f t="shared" ref="BZ5:BZ23" si="51">BR5+BW5</f>
        <v>0</v>
      </c>
      <c r="CA5" s="46">
        <f t="shared" ref="CA5:CA23" si="52">BS5+BX5</f>
        <v>0</v>
      </c>
      <c r="CB5" s="46">
        <f t="shared" ref="CB5" si="53">CA5-BZ5</f>
        <v>0</v>
      </c>
      <c r="CC5" s="45">
        <f t="shared" ref="CC5" si="54">BZ5/$G5</f>
        <v>0</v>
      </c>
      <c r="CD5" s="45">
        <f t="shared" ref="CD5" si="55">CA5/$G5</f>
        <v>0</v>
      </c>
      <c r="CE5" s="52">
        <v>0</v>
      </c>
      <c r="CF5" s="19">
        <v>0</v>
      </c>
      <c r="CG5" s="47">
        <f t="shared" ref="CG5" si="56">IFERROR(IF((CF5/CE5)&gt;=1,100%,(CF5/CE5)),0%)</f>
        <v>0</v>
      </c>
      <c r="CH5" s="46">
        <f t="shared" ref="CH5:CH23" si="57">BZ5+CE5</f>
        <v>0</v>
      </c>
      <c r="CI5" s="46">
        <f t="shared" ref="CI5:CI23" si="58">CA5+CF5</f>
        <v>0</v>
      </c>
      <c r="CJ5" s="46">
        <f t="shared" ref="CJ5" si="59">CI5-CH5</f>
        <v>0</v>
      </c>
      <c r="CK5" s="45">
        <f t="shared" ref="CK5" si="60">CH5/$G5</f>
        <v>0</v>
      </c>
      <c r="CL5" s="45">
        <f t="shared" ref="CL5" si="61">CI5/$G5</f>
        <v>0</v>
      </c>
      <c r="CM5" s="52">
        <v>0</v>
      </c>
      <c r="CN5" s="19">
        <v>0</v>
      </c>
      <c r="CO5" s="47">
        <f t="shared" ref="CO5" si="62">IFERROR(IF((CN5/CM5)&gt;=1,100%,(CN5/CM5)),0%)</f>
        <v>0</v>
      </c>
      <c r="CP5" s="46">
        <f t="shared" ref="CP5:CP23" si="63">CH5+CM5</f>
        <v>0</v>
      </c>
      <c r="CQ5" s="46">
        <f t="shared" ref="CQ5:CQ23" si="64">CI5+CN5</f>
        <v>0</v>
      </c>
      <c r="CR5" s="46">
        <f t="shared" ref="CR5" si="65">CQ5-CP5</f>
        <v>0</v>
      </c>
      <c r="CS5" s="45">
        <f t="shared" ref="CS5" si="66">CP5/$G5</f>
        <v>0</v>
      </c>
      <c r="CT5" s="45">
        <f t="shared" ref="CT5" si="67">CQ5/$G5</f>
        <v>0</v>
      </c>
      <c r="CU5" s="52">
        <v>0</v>
      </c>
      <c r="CV5" s="19">
        <v>0</v>
      </c>
      <c r="CW5" s="47">
        <f t="shared" ref="CW5" si="68">IFERROR(IF((CV5/CU5)&gt;=1,100%,(CV5/CU5)),0%)</f>
        <v>0</v>
      </c>
      <c r="CX5" s="46">
        <f t="shared" ref="CX5:CX23" si="69">CP5+CU5</f>
        <v>0</v>
      </c>
      <c r="CY5" s="46">
        <f t="shared" ref="CY5:CY23" si="70">CQ5+CV5</f>
        <v>0</v>
      </c>
      <c r="CZ5" s="46">
        <f t="shared" ref="CZ5" si="71">CY5-CX5</f>
        <v>0</v>
      </c>
      <c r="DA5" s="45">
        <f t="shared" ref="DA5" si="72">CX5/$G5</f>
        <v>0</v>
      </c>
      <c r="DB5" s="45">
        <f t="shared" ref="DB5" si="73">CY5/$G5</f>
        <v>0</v>
      </c>
      <c r="DC5" s="52">
        <v>0</v>
      </c>
      <c r="DD5" s="19">
        <v>0</v>
      </c>
      <c r="DE5" s="47">
        <v>0</v>
      </c>
      <c r="DF5" s="46">
        <f t="shared" ref="DF5:DF23" si="74">CX5+DC5</f>
        <v>0</v>
      </c>
      <c r="DG5" s="46">
        <f t="shared" ref="DG5:DG23" si="75">CY5+DD5</f>
        <v>0</v>
      </c>
      <c r="DH5" s="46">
        <f t="shared" ref="DH5" si="76">DG5-DF5</f>
        <v>0</v>
      </c>
      <c r="DI5" s="45">
        <f t="shared" ref="DI5" si="77">DF5/$G5</f>
        <v>0</v>
      </c>
      <c r="DJ5" s="45">
        <f t="shared" ref="DJ5" si="78">DG5/$G5</f>
        <v>0</v>
      </c>
      <c r="DK5" s="52">
        <v>0</v>
      </c>
      <c r="DL5" s="19">
        <v>0</v>
      </c>
      <c r="DM5" s="47">
        <f t="shared" ref="DM5" si="79">IFERROR(IF((DL5/DK5)&gt;=1,100%,(DL5/DK5)),0%)</f>
        <v>0</v>
      </c>
      <c r="DN5" s="46">
        <f t="shared" ref="DN5:DN23" si="80">DF5+DK5</f>
        <v>0</v>
      </c>
      <c r="DO5" s="46">
        <f t="shared" ref="DO5:DO23" si="81">DG5+DL5</f>
        <v>0</v>
      </c>
      <c r="DP5" s="46">
        <f t="shared" ref="DP5" si="82">DO5-DN5</f>
        <v>0</v>
      </c>
      <c r="DQ5" s="45">
        <f t="shared" ref="DQ5" si="83">DN5/$G5</f>
        <v>0</v>
      </c>
      <c r="DR5" s="45">
        <f t="shared" ref="DR5" si="84">DO5/$G5</f>
        <v>0</v>
      </c>
    </row>
    <row r="6" spans="1:122" ht="18" customHeight="1" x14ac:dyDescent="0.3">
      <c r="A6" s="108"/>
      <c r="B6" s="105"/>
      <c r="C6" s="105"/>
      <c r="D6" s="133"/>
      <c r="E6" s="21"/>
      <c r="F6" s="18" t="s">
        <v>16</v>
      </c>
      <c r="G6" s="70">
        <v>1</v>
      </c>
      <c r="H6" s="71">
        <v>1</v>
      </c>
      <c r="I6" s="71">
        <f t="shared" si="0"/>
        <v>0</v>
      </c>
      <c r="J6" s="58">
        <f t="shared" ref="J6" si="85">IFERROR(IF((I6/H6)&gt;=1,100%,(I6/H6)),0%)</f>
        <v>0</v>
      </c>
      <c r="K6" s="52">
        <v>0</v>
      </c>
      <c r="L6" s="19">
        <v>0</v>
      </c>
      <c r="M6" s="47">
        <f t="shared" ref="M6" si="86">IFERROR(IF((L6/K6)&gt;=1,100%,(L6/K6)),0%)</f>
        <v>0</v>
      </c>
      <c r="N6" s="46">
        <f t="shared" ref="N6" si="87">+K6</f>
        <v>0</v>
      </c>
      <c r="O6" s="46">
        <f t="shared" ref="O6" si="88">+L6</f>
        <v>0</v>
      </c>
      <c r="P6" s="46">
        <f t="shared" ref="P6" si="89">O6-N6</f>
        <v>0</v>
      </c>
      <c r="Q6" s="45">
        <f t="shared" ref="Q6" si="90">N6/$G6</f>
        <v>0</v>
      </c>
      <c r="R6" s="45">
        <f t="shared" ref="R6" si="91">O6/$G6</f>
        <v>0</v>
      </c>
      <c r="S6" s="52">
        <v>0</v>
      </c>
      <c r="T6" s="19">
        <v>0</v>
      </c>
      <c r="U6" s="47">
        <f t="shared" ref="U6" si="92">IFERROR(IF((T6/S6)&gt;=1,100%,(T6/S6)),0%)</f>
        <v>0</v>
      </c>
      <c r="V6" s="46">
        <f t="shared" si="9"/>
        <v>0</v>
      </c>
      <c r="W6" s="46">
        <f t="shared" si="10"/>
        <v>0</v>
      </c>
      <c r="X6" s="46">
        <f t="shared" ref="X6" si="93">W6-V6</f>
        <v>0</v>
      </c>
      <c r="Y6" s="45">
        <f t="shared" ref="Y6" si="94">V6/$G6</f>
        <v>0</v>
      </c>
      <c r="Z6" s="45">
        <f t="shared" ref="Z6" si="95">W6/$G6</f>
        <v>0</v>
      </c>
      <c r="AA6" s="52">
        <v>0</v>
      </c>
      <c r="AB6" s="19">
        <v>0</v>
      </c>
      <c r="AC6" s="47">
        <f t="shared" ref="AC6" si="96">IFERROR(IF((AB6/AA6)&gt;=1,100%,(AB6/AA6)),0%)</f>
        <v>0</v>
      </c>
      <c r="AD6" s="46">
        <f t="shared" si="15"/>
        <v>0</v>
      </c>
      <c r="AE6" s="46">
        <f t="shared" si="16"/>
        <v>0</v>
      </c>
      <c r="AF6" s="46">
        <f t="shared" ref="AF6" si="97">AE6-AD6</f>
        <v>0</v>
      </c>
      <c r="AG6" s="45">
        <f t="shared" ref="AG6" si="98">AD6/$G6</f>
        <v>0</v>
      </c>
      <c r="AH6" s="45">
        <f t="shared" ref="AH6" si="99">AE6/$G6</f>
        <v>0</v>
      </c>
      <c r="AI6" s="52">
        <v>0</v>
      </c>
      <c r="AJ6" s="19">
        <v>0</v>
      </c>
      <c r="AK6" s="47">
        <f t="shared" ref="AK6" si="100">IFERROR(IF((AJ6/AI6)&gt;=1,100%,(AJ6/AI6)),0%)</f>
        <v>0</v>
      </c>
      <c r="AL6" s="46">
        <f t="shared" si="21"/>
        <v>0</v>
      </c>
      <c r="AM6" s="46">
        <f t="shared" si="22"/>
        <v>0</v>
      </c>
      <c r="AN6" s="46">
        <f t="shared" ref="AN6" si="101">AM6-AL6</f>
        <v>0</v>
      </c>
      <c r="AO6" s="45">
        <f t="shared" ref="AO6" si="102">AL6/$G6</f>
        <v>0</v>
      </c>
      <c r="AP6" s="45">
        <f t="shared" ref="AP6" si="103">AM6/$G6</f>
        <v>0</v>
      </c>
      <c r="AQ6" s="52">
        <v>0</v>
      </c>
      <c r="AR6" s="19">
        <v>0</v>
      </c>
      <c r="AS6" s="47">
        <f t="shared" ref="AS6" si="104">IFERROR(IF((AR6/AQ6)&gt;=1,100%,(AR6/AQ6)),0%)</f>
        <v>0</v>
      </c>
      <c r="AT6" s="46">
        <f t="shared" si="27"/>
        <v>0</v>
      </c>
      <c r="AU6" s="46">
        <f t="shared" si="28"/>
        <v>0</v>
      </c>
      <c r="AV6" s="46">
        <f t="shared" ref="AV6" si="105">AU6-AT6</f>
        <v>0</v>
      </c>
      <c r="AW6" s="45">
        <f t="shared" ref="AW6" si="106">AT6/$G6</f>
        <v>0</v>
      </c>
      <c r="AX6" s="45">
        <f t="shared" ref="AX6" si="107">AU6/$G6</f>
        <v>0</v>
      </c>
      <c r="AY6" s="52">
        <v>0</v>
      </c>
      <c r="AZ6" s="19">
        <v>0</v>
      </c>
      <c r="BA6" s="47">
        <f t="shared" ref="BA6" si="108">IFERROR(IF((AZ6/AY6)&gt;=1,100%,(AZ6/AY6)),0%)</f>
        <v>0</v>
      </c>
      <c r="BB6" s="46">
        <f t="shared" si="33"/>
        <v>0</v>
      </c>
      <c r="BC6" s="46">
        <f t="shared" si="34"/>
        <v>0</v>
      </c>
      <c r="BD6" s="46">
        <f t="shared" ref="BD6" si="109">BC6-BB6</f>
        <v>0</v>
      </c>
      <c r="BE6" s="45">
        <f t="shared" ref="BE6" si="110">BB6/$G6</f>
        <v>0</v>
      </c>
      <c r="BF6" s="45">
        <f t="shared" ref="BF6" si="111">BC6/$G6</f>
        <v>0</v>
      </c>
      <c r="BG6" s="52">
        <v>0</v>
      </c>
      <c r="BH6" s="19">
        <v>0</v>
      </c>
      <c r="BI6" s="47">
        <f t="shared" ref="BI6" si="112">IFERROR(IF((BH6/BG6)&gt;=1,100%,(BH6/BG6)),0%)</f>
        <v>0</v>
      </c>
      <c r="BJ6" s="46">
        <f t="shared" si="39"/>
        <v>0</v>
      </c>
      <c r="BK6" s="46">
        <f t="shared" si="40"/>
        <v>0</v>
      </c>
      <c r="BL6" s="46">
        <f t="shared" ref="BL6" si="113">BK6-BJ6</f>
        <v>0</v>
      </c>
      <c r="BM6" s="45">
        <f t="shared" ref="BM6" si="114">BJ6/$G6</f>
        <v>0</v>
      </c>
      <c r="BN6" s="45">
        <f t="shared" ref="BN6" si="115">BK6/$G6</f>
        <v>0</v>
      </c>
      <c r="BO6" s="52">
        <v>0</v>
      </c>
      <c r="BP6" s="52">
        <v>0</v>
      </c>
      <c r="BQ6" s="47">
        <f t="shared" ref="BQ6" si="116">IFERROR(IF((BP6/BO6)&gt;=1,100%,(BP6/BO6)),0%)</f>
        <v>0</v>
      </c>
      <c r="BR6" s="46">
        <f t="shared" si="45"/>
        <v>0</v>
      </c>
      <c r="BS6" s="46">
        <f t="shared" si="46"/>
        <v>0</v>
      </c>
      <c r="BT6" s="46">
        <f t="shared" ref="BT6" si="117">BS6-BR6</f>
        <v>0</v>
      </c>
      <c r="BU6" s="45">
        <f t="shared" ref="BU6" si="118">BR6/$G6</f>
        <v>0</v>
      </c>
      <c r="BV6" s="45">
        <f t="shared" ref="BV6" si="119">BS6/$G6</f>
        <v>0</v>
      </c>
      <c r="BW6" s="52">
        <v>0</v>
      </c>
      <c r="BX6" s="19">
        <v>0</v>
      </c>
      <c r="BY6" s="47">
        <f t="shared" ref="BY6" si="120">IFERROR(IF((BX6/BW6)&gt;=1,100%,(BX6/BW6)),0%)</f>
        <v>0</v>
      </c>
      <c r="BZ6" s="46">
        <f t="shared" si="51"/>
        <v>0</v>
      </c>
      <c r="CA6" s="46">
        <f t="shared" si="52"/>
        <v>0</v>
      </c>
      <c r="CB6" s="46">
        <f t="shared" ref="CB6" si="121">CA6-BZ6</f>
        <v>0</v>
      </c>
      <c r="CC6" s="45">
        <f t="shared" ref="CC6" si="122">BZ6/$G6</f>
        <v>0</v>
      </c>
      <c r="CD6" s="45">
        <f t="shared" ref="CD6" si="123">CA6/$G6</f>
        <v>0</v>
      </c>
      <c r="CE6" s="52">
        <v>0</v>
      </c>
      <c r="CF6" s="19">
        <v>0</v>
      </c>
      <c r="CG6" s="47">
        <f t="shared" ref="CG6" si="124">IFERROR(IF((CF6/CE6)&gt;=1,100%,(CF6/CE6)),0%)</f>
        <v>0</v>
      </c>
      <c r="CH6" s="46">
        <f t="shared" si="57"/>
        <v>0</v>
      </c>
      <c r="CI6" s="46">
        <f t="shared" si="58"/>
        <v>0</v>
      </c>
      <c r="CJ6" s="46">
        <f t="shared" ref="CJ6" si="125">CI6-CH6</f>
        <v>0</v>
      </c>
      <c r="CK6" s="45">
        <f t="shared" ref="CK6" si="126">CH6/$G6</f>
        <v>0</v>
      </c>
      <c r="CL6" s="45">
        <f t="shared" ref="CL6" si="127">CI6/$G6</f>
        <v>0</v>
      </c>
      <c r="CM6" s="52">
        <v>0</v>
      </c>
      <c r="CN6" s="19">
        <v>0</v>
      </c>
      <c r="CO6" s="47">
        <f t="shared" ref="CO6" si="128">IFERROR(IF((CN6/CM6)&gt;=1,100%,(CN6/CM6)),0%)</f>
        <v>0</v>
      </c>
      <c r="CP6" s="46">
        <f t="shared" si="63"/>
        <v>0</v>
      </c>
      <c r="CQ6" s="46">
        <f t="shared" si="64"/>
        <v>0</v>
      </c>
      <c r="CR6" s="46">
        <f t="shared" ref="CR6" si="129">CQ6-CP6</f>
        <v>0</v>
      </c>
      <c r="CS6" s="45">
        <f t="shared" ref="CS6" si="130">CP6/$G6</f>
        <v>0</v>
      </c>
      <c r="CT6" s="45">
        <f t="shared" ref="CT6" si="131">CQ6/$G6</f>
        <v>0</v>
      </c>
      <c r="CU6" s="52">
        <v>0</v>
      </c>
      <c r="CV6" s="19">
        <v>0</v>
      </c>
      <c r="CW6" s="47">
        <f t="shared" ref="CW6" si="132">IFERROR(IF((CV6/CU6)&gt;=1,100%,(CV6/CU6)),0%)</f>
        <v>0</v>
      </c>
      <c r="CX6" s="46">
        <f t="shared" si="69"/>
        <v>0</v>
      </c>
      <c r="CY6" s="46">
        <f t="shared" si="70"/>
        <v>0</v>
      </c>
      <c r="CZ6" s="46">
        <f t="shared" ref="CZ6" si="133">CY6-CX6</f>
        <v>0</v>
      </c>
      <c r="DA6" s="45">
        <f t="shared" ref="DA6" si="134">CX6/$G6</f>
        <v>0</v>
      </c>
      <c r="DB6" s="45">
        <f t="shared" ref="DB6" si="135">CY6/$G6</f>
        <v>0</v>
      </c>
      <c r="DC6" s="52">
        <v>0</v>
      </c>
      <c r="DD6" s="19">
        <v>0</v>
      </c>
      <c r="DE6" s="47">
        <v>0</v>
      </c>
      <c r="DF6" s="46">
        <f t="shared" si="74"/>
        <v>0</v>
      </c>
      <c r="DG6" s="46">
        <f t="shared" si="75"/>
        <v>0</v>
      </c>
      <c r="DH6" s="46">
        <f t="shared" ref="DH6" si="136">DG6-DF6</f>
        <v>0</v>
      </c>
      <c r="DI6" s="45">
        <f t="shared" ref="DI6" si="137">DF6/$G6</f>
        <v>0</v>
      </c>
      <c r="DJ6" s="45">
        <f t="shared" ref="DJ6" si="138">DG6/$G6</f>
        <v>0</v>
      </c>
      <c r="DK6" s="52">
        <v>0</v>
      </c>
      <c r="DL6" s="19">
        <v>0</v>
      </c>
      <c r="DM6" s="47">
        <f t="shared" ref="DM6" si="139">IFERROR(IF((DL6/DK6)&gt;=1,100%,(DL6/DK6)),0%)</f>
        <v>0</v>
      </c>
      <c r="DN6" s="46">
        <f t="shared" si="80"/>
        <v>0</v>
      </c>
      <c r="DO6" s="46">
        <f t="shared" si="81"/>
        <v>0</v>
      </c>
      <c r="DP6" s="46">
        <f t="shared" ref="DP6" si="140">DO6-DN6</f>
        <v>0</v>
      </c>
      <c r="DQ6" s="45">
        <f t="shared" ref="DQ6" si="141">DN6/$G6</f>
        <v>0</v>
      </c>
      <c r="DR6" s="45">
        <f t="shared" ref="DR6" si="142">DO6/$G6</f>
        <v>0</v>
      </c>
    </row>
    <row r="7" spans="1:122" ht="18" customHeight="1" x14ac:dyDescent="0.3">
      <c r="A7" s="108"/>
      <c r="B7" s="105"/>
      <c r="C7" s="106"/>
      <c r="D7" s="133"/>
      <c r="E7" s="21"/>
      <c r="F7" s="18" t="s">
        <v>15</v>
      </c>
      <c r="G7" s="70">
        <v>1</v>
      </c>
      <c r="H7" s="71">
        <v>1</v>
      </c>
      <c r="I7" s="71">
        <f t="shared" si="0"/>
        <v>0</v>
      </c>
      <c r="J7" s="58">
        <f t="shared" ref="J7" si="143">IFERROR(IF((I7/H7)&gt;=1,100%,(I7/H7)),0%)</f>
        <v>0</v>
      </c>
      <c r="K7" s="52">
        <v>0</v>
      </c>
      <c r="L7" s="19">
        <v>0</v>
      </c>
      <c r="M7" s="47">
        <f t="shared" ref="M7" si="144">IFERROR(IF((L7/K7)&gt;=1,100%,(L7/K7)),0%)</f>
        <v>0</v>
      </c>
      <c r="N7" s="46">
        <f t="shared" ref="N7" si="145">+K7</f>
        <v>0</v>
      </c>
      <c r="O7" s="46">
        <f t="shared" ref="O7" si="146">+L7</f>
        <v>0</v>
      </c>
      <c r="P7" s="46">
        <f t="shared" ref="P7" si="147">O7-N7</f>
        <v>0</v>
      </c>
      <c r="Q7" s="45">
        <f t="shared" ref="Q7" si="148">N7/$G7</f>
        <v>0</v>
      </c>
      <c r="R7" s="45">
        <f t="shared" ref="R7" si="149">O7/$G7</f>
        <v>0</v>
      </c>
      <c r="S7" s="52">
        <v>0</v>
      </c>
      <c r="T7" s="19">
        <v>0</v>
      </c>
      <c r="U7" s="47">
        <f t="shared" ref="U7" si="150">IFERROR(IF((T7/S7)&gt;=1,100%,(T7/S7)),0%)</f>
        <v>0</v>
      </c>
      <c r="V7" s="46">
        <f t="shared" si="9"/>
        <v>0</v>
      </c>
      <c r="W7" s="46">
        <f t="shared" si="10"/>
        <v>0</v>
      </c>
      <c r="X7" s="46">
        <f t="shared" ref="X7" si="151">W7-V7</f>
        <v>0</v>
      </c>
      <c r="Y7" s="45">
        <f t="shared" ref="Y7" si="152">V7/$G7</f>
        <v>0</v>
      </c>
      <c r="Z7" s="45">
        <f t="shared" ref="Z7" si="153">W7/$G7</f>
        <v>0</v>
      </c>
      <c r="AA7" s="52">
        <v>0</v>
      </c>
      <c r="AB7" s="19">
        <v>0</v>
      </c>
      <c r="AC7" s="47">
        <f t="shared" ref="AC7" si="154">IFERROR(IF((AB7/AA7)&gt;=1,100%,(AB7/AA7)),0%)</f>
        <v>0</v>
      </c>
      <c r="AD7" s="46">
        <f t="shared" si="15"/>
        <v>0</v>
      </c>
      <c r="AE7" s="46">
        <f t="shared" si="16"/>
        <v>0</v>
      </c>
      <c r="AF7" s="46">
        <f t="shared" ref="AF7" si="155">AE7-AD7</f>
        <v>0</v>
      </c>
      <c r="AG7" s="45">
        <f t="shared" ref="AG7" si="156">AD7/$G7</f>
        <v>0</v>
      </c>
      <c r="AH7" s="45">
        <f t="shared" ref="AH7" si="157">AE7/$G7</f>
        <v>0</v>
      </c>
      <c r="AI7" s="52">
        <v>0</v>
      </c>
      <c r="AJ7" s="19">
        <v>0</v>
      </c>
      <c r="AK7" s="47">
        <f t="shared" ref="AK7" si="158">IFERROR(IF((AJ7/AI7)&gt;=1,100%,(AJ7/AI7)),0%)</f>
        <v>0</v>
      </c>
      <c r="AL7" s="46">
        <f t="shared" si="21"/>
        <v>0</v>
      </c>
      <c r="AM7" s="46">
        <f t="shared" si="22"/>
        <v>0</v>
      </c>
      <c r="AN7" s="46">
        <f t="shared" ref="AN7" si="159">AM7-AL7</f>
        <v>0</v>
      </c>
      <c r="AO7" s="45">
        <f t="shared" ref="AO7" si="160">AL7/$G7</f>
        <v>0</v>
      </c>
      <c r="AP7" s="45">
        <f t="shared" ref="AP7" si="161">AM7/$G7</f>
        <v>0</v>
      </c>
      <c r="AQ7" s="52">
        <v>0</v>
      </c>
      <c r="AR7" s="19">
        <v>0</v>
      </c>
      <c r="AS7" s="47">
        <f t="shared" ref="AS7" si="162">IFERROR(IF((AR7/AQ7)&gt;=1,100%,(AR7/AQ7)),0%)</f>
        <v>0</v>
      </c>
      <c r="AT7" s="46">
        <f t="shared" si="27"/>
        <v>0</v>
      </c>
      <c r="AU7" s="46">
        <f t="shared" si="28"/>
        <v>0</v>
      </c>
      <c r="AV7" s="46">
        <f t="shared" ref="AV7" si="163">AU7-AT7</f>
        <v>0</v>
      </c>
      <c r="AW7" s="45">
        <f t="shared" ref="AW7" si="164">AT7/$G7</f>
        <v>0</v>
      </c>
      <c r="AX7" s="45">
        <f t="shared" ref="AX7" si="165">AU7/$G7</f>
        <v>0</v>
      </c>
      <c r="AY7" s="52">
        <v>0</v>
      </c>
      <c r="AZ7" s="19">
        <v>0</v>
      </c>
      <c r="BA7" s="47">
        <f t="shared" ref="BA7" si="166">IFERROR(IF((AZ7/AY7)&gt;=1,100%,(AZ7/AY7)),0%)</f>
        <v>0</v>
      </c>
      <c r="BB7" s="46">
        <f t="shared" si="33"/>
        <v>0</v>
      </c>
      <c r="BC7" s="46">
        <f t="shared" si="34"/>
        <v>0</v>
      </c>
      <c r="BD7" s="46">
        <f t="shared" ref="BD7" si="167">BC7-BB7</f>
        <v>0</v>
      </c>
      <c r="BE7" s="45">
        <f t="shared" ref="BE7" si="168">BB7/$G7</f>
        <v>0</v>
      </c>
      <c r="BF7" s="45">
        <f t="shared" ref="BF7" si="169">BC7/$G7</f>
        <v>0</v>
      </c>
      <c r="BG7" s="52">
        <v>0</v>
      </c>
      <c r="BH7" s="19">
        <v>0</v>
      </c>
      <c r="BI7" s="47">
        <f t="shared" ref="BI7" si="170">IFERROR(IF((BH7/BG7)&gt;=1,100%,(BH7/BG7)),0%)</f>
        <v>0</v>
      </c>
      <c r="BJ7" s="46">
        <f t="shared" si="39"/>
        <v>0</v>
      </c>
      <c r="BK7" s="46">
        <f t="shared" si="40"/>
        <v>0</v>
      </c>
      <c r="BL7" s="46">
        <f t="shared" ref="BL7" si="171">BK7-BJ7</f>
        <v>0</v>
      </c>
      <c r="BM7" s="45">
        <f t="shared" ref="BM7" si="172">BJ7/$G7</f>
        <v>0</v>
      </c>
      <c r="BN7" s="45">
        <f t="shared" ref="BN7" si="173">BK7/$G7</f>
        <v>0</v>
      </c>
      <c r="BO7" s="52">
        <v>0</v>
      </c>
      <c r="BP7" s="19">
        <v>0</v>
      </c>
      <c r="BQ7" s="47">
        <f t="shared" ref="BQ7" si="174">IFERROR(IF((BP7/BO7)&gt;=1,100%,(BP7/BO7)),0%)</f>
        <v>0</v>
      </c>
      <c r="BR7" s="46">
        <f t="shared" si="45"/>
        <v>0</v>
      </c>
      <c r="BS7" s="46">
        <f t="shared" si="46"/>
        <v>0</v>
      </c>
      <c r="BT7" s="46">
        <f t="shared" ref="BT7" si="175">BS7-BR7</f>
        <v>0</v>
      </c>
      <c r="BU7" s="45">
        <f t="shared" ref="BU7" si="176">BR7/$G7</f>
        <v>0</v>
      </c>
      <c r="BV7" s="45">
        <f t="shared" ref="BV7" si="177">BS7/$G7</f>
        <v>0</v>
      </c>
      <c r="BW7" s="52">
        <v>0</v>
      </c>
      <c r="BX7" s="19">
        <v>0</v>
      </c>
      <c r="BY7" s="47">
        <f t="shared" ref="BY7" si="178">IFERROR(IF((BX7/BW7)&gt;=1,100%,(BX7/BW7)),0%)</f>
        <v>0</v>
      </c>
      <c r="BZ7" s="46">
        <f t="shared" si="51"/>
        <v>0</v>
      </c>
      <c r="CA7" s="46">
        <f t="shared" si="52"/>
        <v>0</v>
      </c>
      <c r="CB7" s="46">
        <f t="shared" ref="CB7" si="179">CA7-BZ7</f>
        <v>0</v>
      </c>
      <c r="CC7" s="45">
        <f t="shared" ref="CC7" si="180">BZ7/$G7</f>
        <v>0</v>
      </c>
      <c r="CD7" s="45">
        <f t="shared" ref="CD7" si="181">CA7/$G7</f>
        <v>0</v>
      </c>
      <c r="CE7" s="52">
        <v>0</v>
      </c>
      <c r="CF7" s="19">
        <v>0</v>
      </c>
      <c r="CG7" s="47">
        <f t="shared" ref="CG7" si="182">IFERROR(IF((CF7/CE7)&gt;=1,100%,(CF7/CE7)),0%)</f>
        <v>0</v>
      </c>
      <c r="CH7" s="46">
        <f t="shared" si="57"/>
        <v>0</v>
      </c>
      <c r="CI7" s="46">
        <f t="shared" si="58"/>
        <v>0</v>
      </c>
      <c r="CJ7" s="46">
        <f t="shared" ref="CJ7" si="183">CI7-CH7</f>
        <v>0</v>
      </c>
      <c r="CK7" s="45">
        <f t="shared" ref="CK7" si="184">CH7/$G7</f>
        <v>0</v>
      </c>
      <c r="CL7" s="45">
        <f t="shared" ref="CL7" si="185">CI7/$G7</f>
        <v>0</v>
      </c>
      <c r="CM7" s="52">
        <v>0</v>
      </c>
      <c r="CN7" s="19">
        <v>0</v>
      </c>
      <c r="CO7" s="47">
        <f t="shared" ref="CO7" si="186">IFERROR(IF((CN7/CM7)&gt;=1,100%,(CN7/CM7)),0%)</f>
        <v>0</v>
      </c>
      <c r="CP7" s="46">
        <f t="shared" si="63"/>
        <v>0</v>
      </c>
      <c r="CQ7" s="46">
        <f t="shared" si="64"/>
        <v>0</v>
      </c>
      <c r="CR7" s="46">
        <f t="shared" ref="CR7" si="187">CQ7-CP7</f>
        <v>0</v>
      </c>
      <c r="CS7" s="45">
        <f t="shared" ref="CS7" si="188">CP7/$G7</f>
        <v>0</v>
      </c>
      <c r="CT7" s="45">
        <f t="shared" ref="CT7" si="189">CQ7/$G7</f>
        <v>0</v>
      </c>
      <c r="CU7" s="52">
        <v>0</v>
      </c>
      <c r="CV7" s="19">
        <v>0</v>
      </c>
      <c r="CW7" s="47">
        <f t="shared" ref="CW7" si="190">IFERROR(IF((CV7/CU7)&gt;=1,100%,(CV7/CU7)),0%)</f>
        <v>0</v>
      </c>
      <c r="CX7" s="46">
        <f t="shared" si="69"/>
        <v>0</v>
      </c>
      <c r="CY7" s="46">
        <f t="shared" si="70"/>
        <v>0</v>
      </c>
      <c r="CZ7" s="46">
        <f t="shared" ref="CZ7" si="191">CY7-CX7</f>
        <v>0</v>
      </c>
      <c r="DA7" s="45">
        <f t="shared" ref="DA7" si="192">CX7/$G7</f>
        <v>0</v>
      </c>
      <c r="DB7" s="45">
        <f t="shared" ref="DB7" si="193">CY7/$G7</f>
        <v>0</v>
      </c>
      <c r="DC7" s="52">
        <v>0</v>
      </c>
      <c r="DD7" s="19">
        <v>0</v>
      </c>
      <c r="DE7" s="47">
        <v>0</v>
      </c>
      <c r="DF7" s="46">
        <f t="shared" si="74"/>
        <v>0</v>
      </c>
      <c r="DG7" s="46">
        <f t="shared" si="75"/>
        <v>0</v>
      </c>
      <c r="DH7" s="46">
        <f t="shared" ref="DH7" si="194">DG7-DF7</f>
        <v>0</v>
      </c>
      <c r="DI7" s="45">
        <f t="shared" ref="DI7" si="195">DF7/$G7</f>
        <v>0</v>
      </c>
      <c r="DJ7" s="45">
        <f t="shared" ref="DJ7" si="196">DG7/$G7</f>
        <v>0</v>
      </c>
      <c r="DK7" s="52">
        <v>0</v>
      </c>
      <c r="DL7" s="19">
        <v>0</v>
      </c>
      <c r="DM7" s="47">
        <f t="shared" ref="DM7" si="197">IFERROR(IF((DL7/DK7)&gt;=1,100%,(DL7/DK7)),0%)</f>
        <v>0</v>
      </c>
      <c r="DN7" s="46">
        <f t="shared" si="80"/>
        <v>0</v>
      </c>
      <c r="DO7" s="46">
        <f t="shared" si="81"/>
        <v>0</v>
      </c>
      <c r="DP7" s="46">
        <f t="shared" ref="DP7" si="198">DO7-DN7</f>
        <v>0</v>
      </c>
      <c r="DQ7" s="45">
        <f t="shared" ref="DQ7" si="199">DN7/$G7</f>
        <v>0</v>
      </c>
      <c r="DR7" s="45">
        <f t="shared" ref="DR7" si="200">DO7/$G7</f>
        <v>0</v>
      </c>
    </row>
    <row r="8" spans="1:122" ht="18" customHeight="1" x14ac:dyDescent="0.3">
      <c r="A8" s="108"/>
      <c r="B8" s="105"/>
      <c r="C8" s="104" t="s">
        <v>56</v>
      </c>
      <c r="D8" s="133" t="s">
        <v>71</v>
      </c>
      <c r="E8" s="44"/>
      <c r="F8" s="18" t="s">
        <v>14</v>
      </c>
      <c r="G8" s="70">
        <v>1</v>
      </c>
      <c r="H8" s="71">
        <v>1</v>
      </c>
      <c r="I8" s="71">
        <f t="shared" si="0"/>
        <v>0</v>
      </c>
      <c r="J8" s="58">
        <f t="shared" ref="J8:J22" si="201">IFERROR(IF((I8/H8)&gt;=1,100%,(I8/H8)),0%)</f>
        <v>0</v>
      </c>
      <c r="K8" s="52">
        <v>0</v>
      </c>
      <c r="L8" s="19">
        <v>0</v>
      </c>
      <c r="M8" s="47">
        <f t="shared" ref="M8:M22" si="202">IFERROR(IF((L8/K8)&gt;=1,100%,(L8/K8)),0%)</f>
        <v>0</v>
      </c>
      <c r="N8" s="46">
        <f t="shared" ref="N8:N22" si="203">+K8</f>
        <v>0</v>
      </c>
      <c r="O8" s="46">
        <f t="shared" ref="O8:O22" si="204">+L8</f>
        <v>0</v>
      </c>
      <c r="P8" s="46">
        <f t="shared" ref="P8:P22" si="205">O8-N8</f>
        <v>0</v>
      </c>
      <c r="Q8" s="45">
        <f t="shared" ref="Q8:Q22" si="206">N8/$G8</f>
        <v>0</v>
      </c>
      <c r="R8" s="45">
        <f t="shared" ref="R8:R22" si="207">O8/$G8</f>
        <v>0</v>
      </c>
      <c r="S8" s="52">
        <v>0</v>
      </c>
      <c r="T8" s="19">
        <v>0</v>
      </c>
      <c r="U8" s="47">
        <f t="shared" ref="U8:U22" si="208">IFERROR(IF((T8/S8)&gt;=1,100%,(T8/S8)),0%)</f>
        <v>0</v>
      </c>
      <c r="V8" s="46">
        <f t="shared" si="9"/>
        <v>0</v>
      </c>
      <c r="W8" s="46">
        <f t="shared" si="10"/>
        <v>0</v>
      </c>
      <c r="X8" s="46">
        <f t="shared" ref="X8:X13" si="209">W8-V8</f>
        <v>0</v>
      </c>
      <c r="Y8" s="45">
        <f t="shared" ref="Y8:Y13" si="210">V8/$G8</f>
        <v>0</v>
      </c>
      <c r="Z8" s="45">
        <f t="shared" ref="Z8:Z13" si="211">W8/$G8</f>
        <v>0</v>
      </c>
      <c r="AA8" s="52">
        <v>0</v>
      </c>
      <c r="AB8" s="19">
        <v>0</v>
      </c>
      <c r="AC8" s="47">
        <f t="shared" ref="AC8:AC13" si="212">IFERROR(IF((AB8/AA8)&gt;=1,100%,(AB8/AA8)),0%)</f>
        <v>0</v>
      </c>
      <c r="AD8" s="46">
        <f t="shared" si="15"/>
        <v>0</v>
      </c>
      <c r="AE8" s="46">
        <f t="shared" si="16"/>
        <v>0</v>
      </c>
      <c r="AF8" s="46">
        <f t="shared" ref="AF8:AF13" si="213">AE8-AD8</f>
        <v>0</v>
      </c>
      <c r="AG8" s="45">
        <f t="shared" ref="AG8:AG13" si="214">AD8/$G8</f>
        <v>0</v>
      </c>
      <c r="AH8" s="45">
        <f t="shared" ref="AH8:AH13" si="215">AE8/$G8</f>
        <v>0</v>
      </c>
      <c r="AI8" s="52">
        <v>0</v>
      </c>
      <c r="AJ8" s="19">
        <v>0</v>
      </c>
      <c r="AK8" s="47">
        <f t="shared" ref="AK8:AK13" si="216">IFERROR(IF((AJ8/AI8)&gt;=1,100%,(AJ8/AI8)),0%)</f>
        <v>0</v>
      </c>
      <c r="AL8" s="46">
        <f t="shared" si="21"/>
        <v>0</v>
      </c>
      <c r="AM8" s="46">
        <f t="shared" si="22"/>
        <v>0</v>
      </c>
      <c r="AN8" s="46">
        <f t="shared" ref="AN8:AN13" si="217">AM8-AL8</f>
        <v>0</v>
      </c>
      <c r="AO8" s="45">
        <f t="shared" ref="AO8:AO13" si="218">AL8/$G8</f>
        <v>0</v>
      </c>
      <c r="AP8" s="45">
        <f t="shared" ref="AP8:AP13" si="219">AM8/$G8</f>
        <v>0</v>
      </c>
      <c r="AQ8" s="52">
        <v>0</v>
      </c>
      <c r="AR8" s="19">
        <v>0</v>
      </c>
      <c r="AS8" s="47">
        <f t="shared" ref="AS8:AS13" si="220">IFERROR(IF((AR8/AQ8)&gt;=1,100%,(AR8/AQ8)),0%)</f>
        <v>0</v>
      </c>
      <c r="AT8" s="46">
        <f t="shared" si="27"/>
        <v>0</v>
      </c>
      <c r="AU8" s="46">
        <f t="shared" si="28"/>
        <v>0</v>
      </c>
      <c r="AV8" s="46">
        <f t="shared" ref="AV8:AV13" si="221">AU8-AT8</f>
        <v>0</v>
      </c>
      <c r="AW8" s="45">
        <f t="shared" ref="AW8:AW13" si="222">AT8/$G8</f>
        <v>0</v>
      </c>
      <c r="AX8" s="45">
        <f t="shared" ref="AX8:AX13" si="223">AU8/$G8</f>
        <v>0</v>
      </c>
      <c r="AY8" s="52">
        <v>0</v>
      </c>
      <c r="AZ8" s="19">
        <v>0</v>
      </c>
      <c r="BA8" s="47">
        <f t="shared" ref="BA8:BA13" si="224">IFERROR(IF((AZ8/AY8)&gt;=1,100%,(AZ8/AY8)),0%)</f>
        <v>0</v>
      </c>
      <c r="BB8" s="46">
        <f t="shared" si="33"/>
        <v>0</v>
      </c>
      <c r="BC8" s="46">
        <f t="shared" si="34"/>
        <v>0</v>
      </c>
      <c r="BD8" s="46">
        <f t="shared" ref="BD8:BD13" si="225">BC8-BB8</f>
        <v>0</v>
      </c>
      <c r="BE8" s="45">
        <f t="shared" ref="BE8:BE13" si="226">BB8/$G8</f>
        <v>0</v>
      </c>
      <c r="BF8" s="45">
        <f t="shared" ref="BF8:BF13" si="227">BC8/$G8</f>
        <v>0</v>
      </c>
      <c r="BG8" s="52">
        <v>0</v>
      </c>
      <c r="BH8" s="19">
        <v>0</v>
      </c>
      <c r="BI8" s="47">
        <f t="shared" ref="BI8:BI13" si="228">IFERROR(IF((BH8/BG8)&gt;=1,100%,(BH8/BG8)),0%)</f>
        <v>0</v>
      </c>
      <c r="BJ8" s="46">
        <f t="shared" si="39"/>
        <v>0</v>
      </c>
      <c r="BK8" s="46">
        <f t="shared" si="40"/>
        <v>0</v>
      </c>
      <c r="BL8" s="46">
        <f t="shared" ref="BL8:BL13" si="229">BK8-BJ8</f>
        <v>0</v>
      </c>
      <c r="BM8" s="45">
        <f t="shared" ref="BM8:BM13" si="230">BJ8/$G8</f>
        <v>0</v>
      </c>
      <c r="BN8" s="45">
        <f t="shared" ref="BN8:BN13" si="231">BK8/$G8</f>
        <v>0</v>
      </c>
      <c r="BO8" s="52">
        <v>0</v>
      </c>
      <c r="BP8" s="19">
        <v>0</v>
      </c>
      <c r="BQ8" s="47">
        <f t="shared" ref="BQ8:BQ13" si="232">IFERROR(IF((BP8/BO8)&gt;=1,100%,(BP8/BO8)),0%)</f>
        <v>0</v>
      </c>
      <c r="BR8" s="46">
        <f t="shared" si="45"/>
        <v>0</v>
      </c>
      <c r="BS8" s="46">
        <f t="shared" si="46"/>
        <v>0</v>
      </c>
      <c r="BT8" s="46">
        <f t="shared" ref="BT8:BT13" si="233">BS8-BR8</f>
        <v>0</v>
      </c>
      <c r="BU8" s="45">
        <f t="shared" ref="BU8:BU13" si="234">BR8/$G8</f>
        <v>0</v>
      </c>
      <c r="BV8" s="45">
        <f t="shared" ref="BV8:BV13" si="235">BS8/$G8</f>
        <v>0</v>
      </c>
      <c r="BW8" s="52">
        <v>0</v>
      </c>
      <c r="BX8" s="19">
        <v>0</v>
      </c>
      <c r="BY8" s="47">
        <f t="shared" ref="BY8:BY13" si="236">IFERROR(IF((BX8/BW8)&gt;=1,100%,(BX8/BW8)),0%)</f>
        <v>0</v>
      </c>
      <c r="BZ8" s="46">
        <f t="shared" si="51"/>
        <v>0</v>
      </c>
      <c r="CA8" s="46">
        <f t="shared" si="52"/>
        <v>0</v>
      </c>
      <c r="CB8" s="46">
        <f t="shared" ref="CB8:CB13" si="237">CA8-BZ8</f>
        <v>0</v>
      </c>
      <c r="CC8" s="45">
        <f t="shared" ref="CC8:CC13" si="238">BZ8/$G8</f>
        <v>0</v>
      </c>
      <c r="CD8" s="45">
        <f t="shared" ref="CD8:CD13" si="239">CA8/$G8</f>
        <v>0</v>
      </c>
      <c r="CE8" s="52">
        <v>0</v>
      </c>
      <c r="CF8" s="19">
        <v>0</v>
      </c>
      <c r="CG8" s="47">
        <f t="shared" ref="CG8:CG13" si="240">IFERROR(IF((CF8/CE8)&gt;=1,100%,(CF8/CE8)),0%)</f>
        <v>0</v>
      </c>
      <c r="CH8" s="46">
        <f t="shared" si="57"/>
        <v>0</v>
      </c>
      <c r="CI8" s="46">
        <f t="shared" si="58"/>
        <v>0</v>
      </c>
      <c r="CJ8" s="46">
        <f t="shared" ref="CJ8:CJ13" si="241">CI8-CH8</f>
        <v>0</v>
      </c>
      <c r="CK8" s="45">
        <f t="shared" ref="CK8:CK13" si="242">CH8/$G8</f>
        <v>0</v>
      </c>
      <c r="CL8" s="45">
        <f t="shared" ref="CL8:CL13" si="243">CI8/$G8</f>
        <v>0</v>
      </c>
      <c r="CM8" s="52">
        <v>0</v>
      </c>
      <c r="CN8" s="19">
        <v>0</v>
      </c>
      <c r="CO8" s="47">
        <f t="shared" ref="CO8:CO13" si="244">IFERROR(IF((CN8/CM8)&gt;=1,100%,(CN8/CM8)),0%)</f>
        <v>0</v>
      </c>
      <c r="CP8" s="46">
        <f t="shared" si="63"/>
        <v>0</v>
      </c>
      <c r="CQ8" s="46">
        <f t="shared" si="64"/>
        <v>0</v>
      </c>
      <c r="CR8" s="46">
        <f t="shared" ref="CR8:CR13" si="245">CQ8-CP8</f>
        <v>0</v>
      </c>
      <c r="CS8" s="45">
        <f t="shared" ref="CS8:CS13" si="246">CP8/$G8</f>
        <v>0</v>
      </c>
      <c r="CT8" s="45">
        <f t="shared" ref="CT8:CT13" si="247">CQ8/$G8</f>
        <v>0</v>
      </c>
      <c r="CU8" s="52">
        <v>0</v>
      </c>
      <c r="CV8" s="19">
        <v>0</v>
      </c>
      <c r="CW8" s="47">
        <f t="shared" ref="CW8:CW13" si="248">IFERROR(IF((CV8/CU8)&gt;=1,100%,(CV8/CU8)),0%)</f>
        <v>0</v>
      </c>
      <c r="CX8" s="46">
        <f t="shared" si="69"/>
        <v>0</v>
      </c>
      <c r="CY8" s="46">
        <f t="shared" si="70"/>
        <v>0</v>
      </c>
      <c r="CZ8" s="46">
        <f t="shared" ref="CZ8:CZ13" si="249">CY8-CX8</f>
        <v>0</v>
      </c>
      <c r="DA8" s="45">
        <f t="shared" ref="DA8:DA13" si="250">CX8/$G8</f>
        <v>0</v>
      </c>
      <c r="DB8" s="45">
        <f t="shared" ref="DB8:DB13" si="251">CY8/$G8</f>
        <v>0</v>
      </c>
      <c r="DC8" s="52">
        <v>0</v>
      </c>
      <c r="DD8" s="19">
        <v>0</v>
      </c>
      <c r="DE8" s="47">
        <v>0</v>
      </c>
      <c r="DF8" s="46">
        <f t="shared" si="74"/>
        <v>0</v>
      </c>
      <c r="DG8" s="46">
        <f t="shared" si="75"/>
        <v>0</v>
      </c>
      <c r="DH8" s="46">
        <f t="shared" ref="DH8:DH13" si="252">DG8-DF8</f>
        <v>0</v>
      </c>
      <c r="DI8" s="45">
        <f t="shared" ref="DI8:DI13" si="253">DF8/$G8</f>
        <v>0</v>
      </c>
      <c r="DJ8" s="45">
        <f t="shared" ref="DJ8:DJ13" si="254">DG8/$G8</f>
        <v>0</v>
      </c>
      <c r="DK8" s="52">
        <v>0</v>
      </c>
      <c r="DL8" s="19">
        <v>0</v>
      </c>
      <c r="DM8" s="47">
        <f t="shared" ref="DM8:DM13" si="255">IFERROR(IF((DL8/DK8)&gt;=1,100%,(DL8/DK8)),0%)</f>
        <v>0</v>
      </c>
      <c r="DN8" s="46">
        <f t="shared" si="80"/>
        <v>0</v>
      </c>
      <c r="DO8" s="46">
        <f t="shared" si="81"/>
        <v>0</v>
      </c>
      <c r="DP8" s="46">
        <f t="shared" ref="DP8:DP13" si="256">DO8-DN8</f>
        <v>0</v>
      </c>
      <c r="DQ8" s="45">
        <f t="shared" ref="DQ8:DQ13" si="257">DN8/$G8</f>
        <v>0</v>
      </c>
      <c r="DR8" s="45">
        <f t="shared" ref="DR8:DR13" si="258">DO8/$G8</f>
        <v>0</v>
      </c>
    </row>
    <row r="9" spans="1:122" ht="18" customHeight="1" x14ac:dyDescent="0.3">
      <c r="A9" s="108"/>
      <c r="B9" s="105"/>
      <c r="C9" s="105"/>
      <c r="D9" s="133"/>
      <c r="E9" s="44"/>
      <c r="F9" s="18" t="s">
        <v>16</v>
      </c>
      <c r="G9" s="70">
        <v>1</v>
      </c>
      <c r="H9" s="71">
        <v>1</v>
      </c>
      <c r="I9" s="71">
        <f t="shared" si="0"/>
        <v>0</v>
      </c>
      <c r="J9" s="58">
        <f t="shared" si="201"/>
        <v>0</v>
      </c>
      <c r="K9" s="52">
        <v>0</v>
      </c>
      <c r="L9" s="19">
        <v>0</v>
      </c>
      <c r="M9" s="47">
        <f t="shared" si="202"/>
        <v>0</v>
      </c>
      <c r="N9" s="46">
        <f t="shared" si="203"/>
        <v>0</v>
      </c>
      <c r="O9" s="46">
        <f t="shared" si="204"/>
        <v>0</v>
      </c>
      <c r="P9" s="46">
        <f t="shared" si="205"/>
        <v>0</v>
      </c>
      <c r="Q9" s="45">
        <f t="shared" si="206"/>
        <v>0</v>
      </c>
      <c r="R9" s="45">
        <f t="shared" si="207"/>
        <v>0</v>
      </c>
      <c r="S9" s="52">
        <v>0</v>
      </c>
      <c r="T9" s="19">
        <v>0</v>
      </c>
      <c r="U9" s="47">
        <f t="shared" si="208"/>
        <v>0</v>
      </c>
      <c r="V9" s="46">
        <f t="shared" si="9"/>
        <v>0</v>
      </c>
      <c r="W9" s="46">
        <f t="shared" si="10"/>
        <v>0</v>
      </c>
      <c r="X9" s="46">
        <f t="shared" si="209"/>
        <v>0</v>
      </c>
      <c r="Y9" s="45">
        <f t="shared" si="210"/>
        <v>0</v>
      </c>
      <c r="Z9" s="45">
        <f t="shared" si="211"/>
        <v>0</v>
      </c>
      <c r="AA9" s="52">
        <v>0</v>
      </c>
      <c r="AB9" s="19">
        <v>0</v>
      </c>
      <c r="AC9" s="47">
        <f t="shared" si="212"/>
        <v>0</v>
      </c>
      <c r="AD9" s="46">
        <f t="shared" si="15"/>
        <v>0</v>
      </c>
      <c r="AE9" s="46">
        <f t="shared" si="16"/>
        <v>0</v>
      </c>
      <c r="AF9" s="46">
        <f t="shared" si="213"/>
        <v>0</v>
      </c>
      <c r="AG9" s="45">
        <f t="shared" si="214"/>
        <v>0</v>
      </c>
      <c r="AH9" s="45">
        <f t="shared" si="215"/>
        <v>0</v>
      </c>
      <c r="AI9" s="52">
        <v>0</v>
      </c>
      <c r="AJ9" s="19">
        <v>0</v>
      </c>
      <c r="AK9" s="47">
        <f t="shared" si="216"/>
        <v>0</v>
      </c>
      <c r="AL9" s="46">
        <f t="shared" si="21"/>
        <v>0</v>
      </c>
      <c r="AM9" s="46">
        <f t="shared" si="22"/>
        <v>0</v>
      </c>
      <c r="AN9" s="46">
        <f t="shared" si="217"/>
        <v>0</v>
      </c>
      <c r="AO9" s="45">
        <f t="shared" si="218"/>
        <v>0</v>
      </c>
      <c r="AP9" s="45">
        <f t="shared" si="219"/>
        <v>0</v>
      </c>
      <c r="AQ9" s="52">
        <v>0</v>
      </c>
      <c r="AR9" s="19">
        <v>0</v>
      </c>
      <c r="AS9" s="47">
        <f t="shared" si="220"/>
        <v>0</v>
      </c>
      <c r="AT9" s="46">
        <f t="shared" si="27"/>
        <v>0</v>
      </c>
      <c r="AU9" s="46">
        <f t="shared" si="28"/>
        <v>0</v>
      </c>
      <c r="AV9" s="46">
        <f t="shared" si="221"/>
        <v>0</v>
      </c>
      <c r="AW9" s="45">
        <f t="shared" si="222"/>
        <v>0</v>
      </c>
      <c r="AX9" s="45">
        <f t="shared" si="223"/>
        <v>0</v>
      </c>
      <c r="AY9" s="52">
        <v>0</v>
      </c>
      <c r="AZ9" s="19">
        <v>0</v>
      </c>
      <c r="BA9" s="47">
        <f t="shared" si="224"/>
        <v>0</v>
      </c>
      <c r="BB9" s="46">
        <f t="shared" si="33"/>
        <v>0</v>
      </c>
      <c r="BC9" s="46">
        <f t="shared" si="34"/>
        <v>0</v>
      </c>
      <c r="BD9" s="46">
        <f t="shared" si="225"/>
        <v>0</v>
      </c>
      <c r="BE9" s="45">
        <f t="shared" si="226"/>
        <v>0</v>
      </c>
      <c r="BF9" s="45">
        <f t="shared" si="227"/>
        <v>0</v>
      </c>
      <c r="BG9" s="52">
        <v>0</v>
      </c>
      <c r="BH9" s="19">
        <v>0</v>
      </c>
      <c r="BI9" s="47">
        <f t="shared" si="228"/>
        <v>0</v>
      </c>
      <c r="BJ9" s="46">
        <f t="shared" si="39"/>
        <v>0</v>
      </c>
      <c r="BK9" s="46">
        <f t="shared" si="40"/>
        <v>0</v>
      </c>
      <c r="BL9" s="46">
        <f t="shared" si="229"/>
        <v>0</v>
      </c>
      <c r="BM9" s="45">
        <f t="shared" si="230"/>
        <v>0</v>
      </c>
      <c r="BN9" s="45">
        <f t="shared" si="231"/>
        <v>0</v>
      </c>
      <c r="BO9" s="52">
        <v>0</v>
      </c>
      <c r="BP9" s="19">
        <v>0</v>
      </c>
      <c r="BQ9" s="47">
        <f t="shared" si="232"/>
        <v>0</v>
      </c>
      <c r="BR9" s="46">
        <f t="shared" si="45"/>
        <v>0</v>
      </c>
      <c r="BS9" s="46">
        <f t="shared" si="46"/>
        <v>0</v>
      </c>
      <c r="BT9" s="46">
        <f t="shared" si="233"/>
        <v>0</v>
      </c>
      <c r="BU9" s="45">
        <f t="shared" si="234"/>
        <v>0</v>
      </c>
      <c r="BV9" s="45">
        <f t="shared" si="235"/>
        <v>0</v>
      </c>
      <c r="BW9" s="52">
        <v>0</v>
      </c>
      <c r="BX9" s="19">
        <v>0</v>
      </c>
      <c r="BY9" s="47">
        <f t="shared" si="236"/>
        <v>0</v>
      </c>
      <c r="BZ9" s="46">
        <f t="shared" si="51"/>
        <v>0</v>
      </c>
      <c r="CA9" s="46">
        <f t="shared" si="52"/>
        <v>0</v>
      </c>
      <c r="CB9" s="46">
        <f t="shared" si="237"/>
        <v>0</v>
      </c>
      <c r="CC9" s="45">
        <f t="shared" si="238"/>
        <v>0</v>
      </c>
      <c r="CD9" s="45">
        <f t="shared" si="239"/>
        <v>0</v>
      </c>
      <c r="CE9" s="52">
        <v>0</v>
      </c>
      <c r="CF9" s="19">
        <v>0</v>
      </c>
      <c r="CG9" s="47">
        <f t="shared" si="240"/>
        <v>0</v>
      </c>
      <c r="CH9" s="46">
        <f t="shared" si="57"/>
        <v>0</v>
      </c>
      <c r="CI9" s="46">
        <f t="shared" si="58"/>
        <v>0</v>
      </c>
      <c r="CJ9" s="46">
        <f t="shared" si="241"/>
        <v>0</v>
      </c>
      <c r="CK9" s="45">
        <f t="shared" si="242"/>
        <v>0</v>
      </c>
      <c r="CL9" s="45">
        <f t="shared" si="243"/>
        <v>0</v>
      </c>
      <c r="CM9" s="52">
        <v>0</v>
      </c>
      <c r="CN9" s="19">
        <v>0</v>
      </c>
      <c r="CO9" s="47">
        <f t="shared" si="244"/>
        <v>0</v>
      </c>
      <c r="CP9" s="46">
        <f t="shared" si="63"/>
        <v>0</v>
      </c>
      <c r="CQ9" s="46">
        <f t="shared" si="64"/>
        <v>0</v>
      </c>
      <c r="CR9" s="46">
        <f t="shared" si="245"/>
        <v>0</v>
      </c>
      <c r="CS9" s="45">
        <f t="shared" si="246"/>
        <v>0</v>
      </c>
      <c r="CT9" s="45">
        <f t="shared" si="247"/>
        <v>0</v>
      </c>
      <c r="CU9" s="52">
        <v>0</v>
      </c>
      <c r="CV9" s="19">
        <v>0</v>
      </c>
      <c r="CW9" s="47">
        <f t="shared" si="248"/>
        <v>0</v>
      </c>
      <c r="CX9" s="46">
        <f t="shared" si="69"/>
        <v>0</v>
      </c>
      <c r="CY9" s="46">
        <f t="shared" si="70"/>
        <v>0</v>
      </c>
      <c r="CZ9" s="46">
        <f t="shared" si="249"/>
        <v>0</v>
      </c>
      <c r="DA9" s="45">
        <f t="shared" si="250"/>
        <v>0</v>
      </c>
      <c r="DB9" s="45">
        <f t="shared" si="251"/>
        <v>0</v>
      </c>
      <c r="DC9" s="52">
        <v>0</v>
      </c>
      <c r="DD9" s="19">
        <v>0</v>
      </c>
      <c r="DE9" s="47">
        <v>0</v>
      </c>
      <c r="DF9" s="46">
        <f t="shared" si="74"/>
        <v>0</v>
      </c>
      <c r="DG9" s="46">
        <f t="shared" si="75"/>
        <v>0</v>
      </c>
      <c r="DH9" s="46">
        <f t="shared" si="252"/>
        <v>0</v>
      </c>
      <c r="DI9" s="45">
        <f t="shared" si="253"/>
        <v>0</v>
      </c>
      <c r="DJ9" s="45">
        <f t="shared" si="254"/>
        <v>0</v>
      </c>
      <c r="DK9" s="52">
        <v>0</v>
      </c>
      <c r="DL9" s="19">
        <v>0</v>
      </c>
      <c r="DM9" s="47">
        <f t="shared" si="255"/>
        <v>0</v>
      </c>
      <c r="DN9" s="46">
        <f t="shared" si="80"/>
        <v>0</v>
      </c>
      <c r="DO9" s="46">
        <f t="shared" si="81"/>
        <v>0</v>
      </c>
      <c r="DP9" s="46">
        <f t="shared" si="256"/>
        <v>0</v>
      </c>
      <c r="DQ9" s="45">
        <f t="shared" si="257"/>
        <v>0</v>
      </c>
      <c r="DR9" s="45">
        <f t="shared" si="258"/>
        <v>0</v>
      </c>
    </row>
    <row r="10" spans="1:122" ht="18" customHeight="1" x14ac:dyDescent="0.3">
      <c r="A10" s="108"/>
      <c r="B10" s="105"/>
      <c r="C10" s="106"/>
      <c r="D10" s="133"/>
      <c r="E10" s="44"/>
      <c r="F10" s="18" t="s">
        <v>15</v>
      </c>
      <c r="G10" s="70">
        <v>1</v>
      </c>
      <c r="H10" s="71">
        <v>1</v>
      </c>
      <c r="I10" s="71">
        <f t="shared" si="0"/>
        <v>0</v>
      </c>
      <c r="J10" s="58">
        <f t="shared" si="201"/>
        <v>0</v>
      </c>
      <c r="K10" s="52">
        <v>0</v>
      </c>
      <c r="L10" s="19">
        <v>0</v>
      </c>
      <c r="M10" s="47">
        <f t="shared" si="202"/>
        <v>0</v>
      </c>
      <c r="N10" s="46">
        <f t="shared" si="203"/>
        <v>0</v>
      </c>
      <c r="O10" s="46">
        <f t="shared" si="204"/>
        <v>0</v>
      </c>
      <c r="P10" s="46">
        <f t="shared" si="205"/>
        <v>0</v>
      </c>
      <c r="Q10" s="45">
        <f t="shared" si="206"/>
        <v>0</v>
      </c>
      <c r="R10" s="45">
        <f t="shared" si="207"/>
        <v>0</v>
      </c>
      <c r="S10" s="52">
        <v>0</v>
      </c>
      <c r="T10" s="19">
        <v>0</v>
      </c>
      <c r="U10" s="47">
        <f t="shared" si="208"/>
        <v>0</v>
      </c>
      <c r="V10" s="46">
        <f t="shared" si="9"/>
        <v>0</v>
      </c>
      <c r="W10" s="46">
        <f t="shared" si="10"/>
        <v>0</v>
      </c>
      <c r="X10" s="46">
        <f t="shared" si="209"/>
        <v>0</v>
      </c>
      <c r="Y10" s="45">
        <f t="shared" si="210"/>
        <v>0</v>
      </c>
      <c r="Z10" s="45">
        <f t="shared" si="211"/>
        <v>0</v>
      </c>
      <c r="AA10" s="52">
        <v>0</v>
      </c>
      <c r="AB10" s="19">
        <v>0</v>
      </c>
      <c r="AC10" s="47">
        <f t="shared" si="212"/>
        <v>0</v>
      </c>
      <c r="AD10" s="46">
        <f t="shared" si="15"/>
        <v>0</v>
      </c>
      <c r="AE10" s="46">
        <f t="shared" si="16"/>
        <v>0</v>
      </c>
      <c r="AF10" s="46">
        <f t="shared" si="213"/>
        <v>0</v>
      </c>
      <c r="AG10" s="45">
        <f t="shared" si="214"/>
        <v>0</v>
      </c>
      <c r="AH10" s="45">
        <f t="shared" si="215"/>
        <v>0</v>
      </c>
      <c r="AI10" s="52">
        <v>0</v>
      </c>
      <c r="AJ10" s="19">
        <v>0</v>
      </c>
      <c r="AK10" s="47">
        <f t="shared" si="216"/>
        <v>0</v>
      </c>
      <c r="AL10" s="46">
        <f t="shared" si="21"/>
        <v>0</v>
      </c>
      <c r="AM10" s="46">
        <f t="shared" si="22"/>
        <v>0</v>
      </c>
      <c r="AN10" s="46">
        <f t="shared" si="217"/>
        <v>0</v>
      </c>
      <c r="AO10" s="45">
        <f t="shared" si="218"/>
        <v>0</v>
      </c>
      <c r="AP10" s="45">
        <f t="shared" si="219"/>
        <v>0</v>
      </c>
      <c r="AQ10" s="52">
        <v>0</v>
      </c>
      <c r="AR10" s="19">
        <v>0</v>
      </c>
      <c r="AS10" s="47">
        <f t="shared" si="220"/>
        <v>0</v>
      </c>
      <c r="AT10" s="46">
        <f t="shared" si="27"/>
        <v>0</v>
      </c>
      <c r="AU10" s="46">
        <f t="shared" si="28"/>
        <v>0</v>
      </c>
      <c r="AV10" s="46">
        <f t="shared" si="221"/>
        <v>0</v>
      </c>
      <c r="AW10" s="45">
        <f t="shared" si="222"/>
        <v>0</v>
      </c>
      <c r="AX10" s="45">
        <f t="shared" si="223"/>
        <v>0</v>
      </c>
      <c r="AY10" s="52">
        <v>0</v>
      </c>
      <c r="AZ10" s="19">
        <v>0</v>
      </c>
      <c r="BA10" s="47">
        <f t="shared" si="224"/>
        <v>0</v>
      </c>
      <c r="BB10" s="46">
        <f t="shared" si="33"/>
        <v>0</v>
      </c>
      <c r="BC10" s="46">
        <f t="shared" si="34"/>
        <v>0</v>
      </c>
      <c r="BD10" s="46">
        <f t="shared" si="225"/>
        <v>0</v>
      </c>
      <c r="BE10" s="45">
        <f t="shared" si="226"/>
        <v>0</v>
      </c>
      <c r="BF10" s="45">
        <f t="shared" si="227"/>
        <v>0</v>
      </c>
      <c r="BG10" s="52">
        <v>0</v>
      </c>
      <c r="BH10" s="19">
        <v>0</v>
      </c>
      <c r="BI10" s="47">
        <f t="shared" si="228"/>
        <v>0</v>
      </c>
      <c r="BJ10" s="46">
        <f t="shared" si="39"/>
        <v>0</v>
      </c>
      <c r="BK10" s="46">
        <f t="shared" si="40"/>
        <v>0</v>
      </c>
      <c r="BL10" s="46">
        <f t="shared" si="229"/>
        <v>0</v>
      </c>
      <c r="BM10" s="45">
        <f t="shared" si="230"/>
        <v>0</v>
      </c>
      <c r="BN10" s="45">
        <f t="shared" si="231"/>
        <v>0</v>
      </c>
      <c r="BO10" s="52">
        <v>0</v>
      </c>
      <c r="BP10" s="19">
        <v>0</v>
      </c>
      <c r="BQ10" s="47">
        <f t="shared" si="232"/>
        <v>0</v>
      </c>
      <c r="BR10" s="46">
        <f t="shared" si="45"/>
        <v>0</v>
      </c>
      <c r="BS10" s="46">
        <f t="shared" si="46"/>
        <v>0</v>
      </c>
      <c r="BT10" s="46">
        <f t="shared" si="233"/>
        <v>0</v>
      </c>
      <c r="BU10" s="45">
        <f t="shared" si="234"/>
        <v>0</v>
      </c>
      <c r="BV10" s="45">
        <f t="shared" si="235"/>
        <v>0</v>
      </c>
      <c r="BW10" s="52">
        <v>0</v>
      </c>
      <c r="BX10" s="19">
        <v>0</v>
      </c>
      <c r="BY10" s="47">
        <f t="shared" si="236"/>
        <v>0</v>
      </c>
      <c r="BZ10" s="46">
        <f t="shared" si="51"/>
        <v>0</v>
      </c>
      <c r="CA10" s="46">
        <f t="shared" si="52"/>
        <v>0</v>
      </c>
      <c r="CB10" s="46">
        <f t="shared" si="237"/>
        <v>0</v>
      </c>
      <c r="CC10" s="45">
        <f t="shared" si="238"/>
        <v>0</v>
      </c>
      <c r="CD10" s="45">
        <f t="shared" si="239"/>
        <v>0</v>
      </c>
      <c r="CE10" s="52">
        <v>0</v>
      </c>
      <c r="CF10" s="19">
        <v>0</v>
      </c>
      <c r="CG10" s="47">
        <f t="shared" si="240"/>
        <v>0</v>
      </c>
      <c r="CH10" s="46">
        <f t="shared" si="57"/>
        <v>0</v>
      </c>
      <c r="CI10" s="46">
        <f t="shared" si="58"/>
        <v>0</v>
      </c>
      <c r="CJ10" s="46">
        <f t="shared" si="241"/>
        <v>0</v>
      </c>
      <c r="CK10" s="45">
        <f t="shared" si="242"/>
        <v>0</v>
      </c>
      <c r="CL10" s="45">
        <f t="shared" si="243"/>
        <v>0</v>
      </c>
      <c r="CM10" s="52">
        <v>0</v>
      </c>
      <c r="CN10" s="19">
        <v>0</v>
      </c>
      <c r="CO10" s="47">
        <f t="shared" si="244"/>
        <v>0</v>
      </c>
      <c r="CP10" s="46">
        <f t="shared" si="63"/>
        <v>0</v>
      </c>
      <c r="CQ10" s="46">
        <f t="shared" si="64"/>
        <v>0</v>
      </c>
      <c r="CR10" s="46">
        <f t="shared" si="245"/>
        <v>0</v>
      </c>
      <c r="CS10" s="45">
        <f t="shared" si="246"/>
        <v>0</v>
      </c>
      <c r="CT10" s="45">
        <f t="shared" si="247"/>
        <v>0</v>
      </c>
      <c r="CU10" s="52">
        <v>0</v>
      </c>
      <c r="CV10" s="19">
        <v>0</v>
      </c>
      <c r="CW10" s="47">
        <f t="shared" si="248"/>
        <v>0</v>
      </c>
      <c r="CX10" s="46">
        <f t="shared" si="69"/>
        <v>0</v>
      </c>
      <c r="CY10" s="46">
        <f t="shared" si="70"/>
        <v>0</v>
      </c>
      <c r="CZ10" s="46">
        <f t="shared" si="249"/>
        <v>0</v>
      </c>
      <c r="DA10" s="45">
        <f t="shared" si="250"/>
        <v>0</v>
      </c>
      <c r="DB10" s="45">
        <f t="shared" si="251"/>
        <v>0</v>
      </c>
      <c r="DC10" s="52">
        <v>0</v>
      </c>
      <c r="DD10" s="19">
        <v>0</v>
      </c>
      <c r="DE10" s="47">
        <v>0</v>
      </c>
      <c r="DF10" s="46">
        <f t="shared" si="74"/>
        <v>0</v>
      </c>
      <c r="DG10" s="46">
        <f t="shared" si="75"/>
        <v>0</v>
      </c>
      <c r="DH10" s="46">
        <f t="shared" si="252"/>
        <v>0</v>
      </c>
      <c r="DI10" s="45">
        <f t="shared" si="253"/>
        <v>0</v>
      </c>
      <c r="DJ10" s="45">
        <f t="shared" si="254"/>
        <v>0</v>
      </c>
      <c r="DK10" s="52">
        <v>0</v>
      </c>
      <c r="DL10" s="19">
        <v>0</v>
      </c>
      <c r="DM10" s="47">
        <f t="shared" si="255"/>
        <v>0</v>
      </c>
      <c r="DN10" s="46">
        <f t="shared" si="80"/>
        <v>0</v>
      </c>
      <c r="DO10" s="46">
        <f t="shared" si="81"/>
        <v>0</v>
      </c>
      <c r="DP10" s="46">
        <f t="shared" si="256"/>
        <v>0</v>
      </c>
      <c r="DQ10" s="45">
        <f t="shared" si="257"/>
        <v>0</v>
      </c>
      <c r="DR10" s="45">
        <f t="shared" si="258"/>
        <v>0</v>
      </c>
    </row>
    <row r="11" spans="1:122" ht="17.649999999999999" customHeight="1" x14ac:dyDescent="0.3">
      <c r="A11" s="108"/>
      <c r="B11" s="105"/>
      <c r="C11" s="113" t="s">
        <v>58</v>
      </c>
      <c r="D11" s="133" t="s">
        <v>72</v>
      </c>
      <c r="E11" s="18"/>
      <c r="F11" s="18" t="s">
        <v>14</v>
      </c>
      <c r="G11" s="70">
        <v>1</v>
      </c>
      <c r="H11" s="71">
        <v>1</v>
      </c>
      <c r="I11" s="71">
        <f t="shared" si="0"/>
        <v>0</v>
      </c>
      <c r="J11" s="58">
        <f t="shared" si="201"/>
        <v>0</v>
      </c>
      <c r="K11" s="52">
        <v>0</v>
      </c>
      <c r="L11" s="19">
        <v>0</v>
      </c>
      <c r="M11" s="47">
        <f t="shared" si="202"/>
        <v>0</v>
      </c>
      <c r="N11" s="46">
        <f t="shared" si="203"/>
        <v>0</v>
      </c>
      <c r="O11" s="46">
        <f t="shared" si="204"/>
        <v>0</v>
      </c>
      <c r="P11" s="46">
        <f t="shared" si="205"/>
        <v>0</v>
      </c>
      <c r="Q11" s="45">
        <f t="shared" si="206"/>
        <v>0</v>
      </c>
      <c r="R11" s="45">
        <f t="shared" si="207"/>
        <v>0</v>
      </c>
      <c r="S11" s="52">
        <v>0</v>
      </c>
      <c r="T11" s="19">
        <v>0</v>
      </c>
      <c r="U11" s="47">
        <f t="shared" si="208"/>
        <v>0</v>
      </c>
      <c r="V11" s="46">
        <f t="shared" si="9"/>
        <v>0</v>
      </c>
      <c r="W11" s="46">
        <f t="shared" si="10"/>
        <v>0</v>
      </c>
      <c r="X11" s="46">
        <f t="shared" si="209"/>
        <v>0</v>
      </c>
      <c r="Y11" s="45">
        <f t="shared" si="210"/>
        <v>0</v>
      </c>
      <c r="Z11" s="45">
        <f t="shared" si="211"/>
        <v>0</v>
      </c>
      <c r="AA11" s="52">
        <v>0</v>
      </c>
      <c r="AB11" s="19">
        <v>0</v>
      </c>
      <c r="AC11" s="47">
        <f t="shared" si="212"/>
        <v>0</v>
      </c>
      <c r="AD11" s="46">
        <f t="shared" si="15"/>
        <v>0</v>
      </c>
      <c r="AE11" s="46">
        <f t="shared" si="16"/>
        <v>0</v>
      </c>
      <c r="AF11" s="46">
        <f t="shared" si="213"/>
        <v>0</v>
      </c>
      <c r="AG11" s="45">
        <f t="shared" si="214"/>
        <v>0</v>
      </c>
      <c r="AH11" s="45">
        <f t="shared" si="215"/>
        <v>0</v>
      </c>
      <c r="AI11" s="52">
        <v>0</v>
      </c>
      <c r="AJ11" s="19">
        <v>0</v>
      </c>
      <c r="AK11" s="47">
        <f t="shared" si="216"/>
        <v>0</v>
      </c>
      <c r="AL11" s="46">
        <f t="shared" si="21"/>
        <v>0</v>
      </c>
      <c r="AM11" s="46">
        <f t="shared" si="22"/>
        <v>0</v>
      </c>
      <c r="AN11" s="46">
        <f t="shared" si="217"/>
        <v>0</v>
      </c>
      <c r="AO11" s="45">
        <f t="shared" si="218"/>
        <v>0</v>
      </c>
      <c r="AP11" s="45">
        <f t="shared" si="219"/>
        <v>0</v>
      </c>
      <c r="AQ11" s="52">
        <v>0</v>
      </c>
      <c r="AR11" s="19">
        <v>0</v>
      </c>
      <c r="AS11" s="47">
        <f t="shared" si="220"/>
        <v>0</v>
      </c>
      <c r="AT11" s="46">
        <f t="shared" si="27"/>
        <v>0</v>
      </c>
      <c r="AU11" s="46">
        <f t="shared" si="28"/>
        <v>0</v>
      </c>
      <c r="AV11" s="46">
        <f t="shared" si="221"/>
        <v>0</v>
      </c>
      <c r="AW11" s="45">
        <f t="shared" si="222"/>
        <v>0</v>
      </c>
      <c r="AX11" s="45">
        <f t="shared" si="223"/>
        <v>0</v>
      </c>
      <c r="AY11" s="52">
        <v>0</v>
      </c>
      <c r="AZ11" s="19">
        <v>0</v>
      </c>
      <c r="BA11" s="47">
        <f t="shared" si="224"/>
        <v>0</v>
      </c>
      <c r="BB11" s="46">
        <f t="shared" si="33"/>
        <v>0</v>
      </c>
      <c r="BC11" s="46">
        <f t="shared" si="34"/>
        <v>0</v>
      </c>
      <c r="BD11" s="46">
        <f t="shared" si="225"/>
        <v>0</v>
      </c>
      <c r="BE11" s="45">
        <f t="shared" si="226"/>
        <v>0</v>
      </c>
      <c r="BF11" s="45">
        <f t="shared" si="227"/>
        <v>0</v>
      </c>
      <c r="BG11" s="52">
        <v>0</v>
      </c>
      <c r="BH11" s="19">
        <v>0</v>
      </c>
      <c r="BI11" s="47">
        <f t="shared" si="228"/>
        <v>0</v>
      </c>
      <c r="BJ11" s="46">
        <f t="shared" si="39"/>
        <v>0</v>
      </c>
      <c r="BK11" s="46">
        <f t="shared" si="40"/>
        <v>0</v>
      </c>
      <c r="BL11" s="46">
        <f t="shared" si="229"/>
        <v>0</v>
      </c>
      <c r="BM11" s="45">
        <f t="shared" si="230"/>
        <v>0</v>
      </c>
      <c r="BN11" s="45">
        <f t="shared" si="231"/>
        <v>0</v>
      </c>
      <c r="BO11" s="52">
        <v>0</v>
      </c>
      <c r="BP11" s="19">
        <v>0</v>
      </c>
      <c r="BQ11" s="47">
        <f t="shared" si="232"/>
        <v>0</v>
      </c>
      <c r="BR11" s="46">
        <f t="shared" si="45"/>
        <v>0</v>
      </c>
      <c r="BS11" s="46">
        <f t="shared" si="46"/>
        <v>0</v>
      </c>
      <c r="BT11" s="46">
        <f t="shared" si="233"/>
        <v>0</v>
      </c>
      <c r="BU11" s="45">
        <f t="shared" si="234"/>
        <v>0</v>
      </c>
      <c r="BV11" s="45">
        <f t="shared" si="235"/>
        <v>0</v>
      </c>
      <c r="BW11" s="52">
        <v>0</v>
      </c>
      <c r="BX11" s="19">
        <v>0</v>
      </c>
      <c r="BY11" s="47">
        <f t="shared" si="236"/>
        <v>0</v>
      </c>
      <c r="BZ11" s="46">
        <f t="shared" si="51"/>
        <v>0</v>
      </c>
      <c r="CA11" s="46">
        <f t="shared" si="52"/>
        <v>0</v>
      </c>
      <c r="CB11" s="46">
        <f t="shared" si="237"/>
        <v>0</v>
      </c>
      <c r="CC11" s="45">
        <f t="shared" si="238"/>
        <v>0</v>
      </c>
      <c r="CD11" s="45">
        <f t="shared" si="239"/>
        <v>0</v>
      </c>
      <c r="CE11" s="52">
        <v>0</v>
      </c>
      <c r="CF11" s="19">
        <v>0</v>
      </c>
      <c r="CG11" s="47">
        <f t="shared" si="240"/>
        <v>0</v>
      </c>
      <c r="CH11" s="46">
        <f t="shared" si="57"/>
        <v>0</v>
      </c>
      <c r="CI11" s="46">
        <f t="shared" si="58"/>
        <v>0</v>
      </c>
      <c r="CJ11" s="46">
        <f t="shared" si="241"/>
        <v>0</v>
      </c>
      <c r="CK11" s="45">
        <f t="shared" si="242"/>
        <v>0</v>
      </c>
      <c r="CL11" s="45">
        <f t="shared" si="243"/>
        <v>0</v>
      </c>
      <c r="CM11" s="52">
        <v>0</v>
      </c>
      <c r="CN11" s="19">
        <v>0</v>
      </c>
      <c r="CO11" s="47">
        <f t="shared" si="244"/>
        <v>0</v>
      </c>
      <c r="CP11" s="46">
        <f t="shared" si="63"/>
        <v>0</v>
      </c>
      <c r="CQ11" s="46">
        <f t="shared" si="64"/>
        <v>0</v>
      </c>
      <c r="CR11" s="46">
        <f t="shared" si="245"/>
        <v>0</v>
      </c>
      <c r="CS11" s="45">
        <f t="shared" si="246"/>
        <v>0</v>
      </c>
      <c r="CT11" s="45">
        <f t="shared" si="247"/>
        <v>0</v>
      </c>
      <c r="CU11" s="52">
        <v>0</v>
      </c>
      <c r="CV11" s="19">
        <v>0</v>
      </c>
      <c r="CW11" s="47">
        <f t="shared" si="248"/>
        <v>0</v>
      </c>
      <c r="CX11" s="46">
        <f t="shared" si="69"/>
        <v>0</v>
      </c>
      <c r="CY11" s="46">
        <f t="shared" si="70"/>
        <v>0</v>
      </c>
      <c r="CZ11" s="46">
        <f t="shared" si="249"/>
        <v>0</v>
      </c>
      <c r="DA11" s="45">
        <f t="shared" si="250"/>
        <v>0</v>
      </c>
      <c r="DB11" s="45">
        <f t="shared" si="251"/>
        <v>0</v>
      </c>
      <c r="DC11" s="52">
        <v>0</v>
      </c>
      <c r="DD11" s="19">
        <v>0</v>
      </c>
      <c r="DE11" s="47">
        <v>0</v>
      </c>
      <c r="DF11" s="46">
        <f t="shared" si="74"/>
        <v>0</v>
      </c>
      <c r="DG11" s="46">
        <f t="shared" si="75"/>
        <v>0</v>
      </c>
      <c r="DH11" s="46">
        <f t="shared" si="252"/>
        <v>0</v>
      </c>
      <c r="DI11" s="45">
        <f t="shared" si="253"/>
        <v>0</v>
      </c>
      <c r="DJ11" s="45">
        <f t="shared" si="254"/>
        <v>0</v>
      </c>
      <c r="DK11" s="52">
        <v>0</v>
      </c>
      <c r="DL11" s="19">
        <v>0</v>
      </c>
      <c r="DM11" s="47">
        <f t="shared" si="255"/>
        <v>0</v>
      </c>
      <c r="DN11" s="46">
        <f t="shared" si="80"/>
        <v>0</v>
      </c>
      <c r="DO11" s="46">
        <f t="shared" si="81"/>
        <v>0</v>
      </c>
      <c r="DP11" s="46">
        <f t="shared" si="256"/>
        <v>0</v>
      </c>
      <c r="DQ11" s="45">
        <f t="shared" si="257"/>
        <v>0</v>
      </c>
      <c r="DR11" s="45">
        <f t="shared" si="258"/>
        <v>0</v>
      </c>
    </row>
    <row r="12" spans="1:122" ht="18" customHeight="1" x14ac:dyDescent="0.3">
      <c r="A12" s="108"/>
      <c r="B12" s="105"/>
      <c r="C12" s="111"/>
      <c r="D12" s="133"/>
      <c r="E12" s="18"/>
      <c r="F12" s="18" t="s">
        <v>16</v>
      </c>
      <c r="G12" s="70">
        <v>1</v>
      </c>
      <c r="H12" s="71">
        <v>1</v>
      </c>
      <c r="I12" s="71">
        <f t="shared" si="0"/>
        <v>0</v>
      </c>
      <c r="J12" s="58">
        <f t="shared" si="201"/>
        <v>0</v>
      </c>
      <c r="K12" s="52">
        <v>0</v>
      </c>
      <c r="L12" s="19">
        <v>0</v>
      </c>
      <c r="M12" s="47">
        <f t="shared" si="202"/>
        <v>0</v>
      </c>
      <c r="N12" s="46">
        <f t="shared" si="203"/>
        <v>0</v>
      </c>
      <c r="O12" s="46">
        <f t="shared" si="204"/>
        <v>0</v>
      </c>
      <c r="P12" s="46">
        <f t="shared" si="205"/>
        <v>0</v>
      </c>
      <c r="Q12" s="45">
        <f t="shared" si="206"/>
        <v>0</v>
      </c>
      <c r="R12" s="45">
        <f t="shared" si="207"/>
        <v>0</v>
      </c>
      <c r="S12" s="52">
        <v>0</v>
      </c>
      <c r="T12" s="19">
        <v>0</v>
      </c>
      <c r="U12" s="47">
        <f t="shared" si="208"/>
        <v>0</v>
      </c>
      <c r="V12" s="46">
        <f t="shared" si="9"/>
        <v>0</v>
      </c>
      <c r="W12" s="46">
        <f t="shared" si="10"/>
        <v>0</v>
      </c>
      <c r="X12" s="46">
        <f t="shared" si="209"/>
        <v>0</v>
      </c>
      <c r="Y12" s="45">
        <f t="shared" si="210"/>
        <v>0</v>
      </c>
      <c r="Z12" s="45">
        <f t="shared" si="211"/>
        <v>0</v>
      </c>
      <c r="AA12" s="52">
        <v>0</v>
      </c>
      <c r="AB12" s="19">
        <v>0</v>
      </c>
      <c r="AC12" s="47">
        <f t="shared" si="212"/>
        <v>0</v>
      </c>
      <c r="AD12" s="46">
        <f t="shared" si="15"/>
        <v>0</v>
      </c>
      <c r="AE12" s="46">
        <f t="shared" si="16"/>
        <v>0</v>
      </c>
      <c r="AF12" s="46">
        <f t="shared" si="213"/>
        <v>0</v>
      </c>
      <c r="AG12" s="45">
        <f t="shared" si="214"/>
        <v>0</v>
      </c>
      <c r="AH12" s="45">
        <f t="shared" si="215"/>
        <v>0</v>
      </c>
      <c r="AI12" s="52">
        <v>0</v>
      </c>
      <c r="AJ12" s="19">
        <v>0</v>
      </c>
      <c r="AK12" s="47">
        <f t="shared" si="216"/>
        <v>0</v>
      </c>
      <c r="AL12" s="46">
        <f t="shared" si="21"/>
        <v>0</v>
      </c>
      <c r="AM12" s="46">
        <f t="shared" si="22"/>
        <v>0</v>
      </c>
      <c r="AN12" s="46">
        <f t="shared" si="217"/>
        <v>0</v>
      </c>
      <c r="AO12" s="45">
        <f t="shared" si="218"/>
        <v>0</v>
      </c>
      <c r="AP12" s="45">
        <f t="shared" si="219"/>
        <v>0</v>
      </c>
      <c r="AQ12" s="52">
        <v>0</v>
      </c>
      <c r="AR12" s="19">
        <v>0</v>
      </c>
      <c r="AS12" s="47">
        <f t="shared" si="220"/>
        <v>0</v>
      </c>
      <c r="AT12" s="46">
        <f t="shared" si="27"/>
        <v>0</v>
      </c>
      <c r="AU12" s="46">
        <f t="shared" si="28"/>
        <v>0</v>
      </c>
      <c r="AV12" s="46">
        <f t="shared" si="221"/>
        <v>0</v>
      </c>
      <c r="AW12" s="45">
        <f t="shared" si="222"/>
        <v>0</v>
      </c>
      <c r="AX12" s="45">
        <f t="shared" si="223"/>
        <v>0</v>
      </c>
      <c r="AY12" s="52">
        <v>0</v>
      </c>
      <c r="AZ12" s="19">
        <v>0</v>
      </c>
      <c r="BA12" s="47">
        <f t="shared" si="224"/>
        <v>0</v>
      </c>
      <c r="BB12" s="46">
        <f t="shared" si="33"/>
        <v>0</v>
      </c>
      <c r="BC12" s="46">
        <f t="shared" si="34"/>
        <v>0</v>
      </c>
      <c r="BD12" s="46">
        <f t="shared" si="225"/>
        <v>0</v>
      </c>
      <c r="BE12" s="45">
        <f t="shared" si="226"/>
        <v>0</v>
      </c>
      <c r="BF12" s="45">
        <f t="shared" si="227"/>
        <v>0</v>
      </c>
      <c r="BG12" s="52">
        <v>0</v>
      </c>
      <c r="BH12" s="19">
        <v>0</v>
      </c>
      <c r="BI12" s="47">
        <f t="shared" si="228"/>
        <v>0</v>
      </c>
      <c r="BJ12" s="46">
        <f t="shared" si="39"/>
        <v>0</v>
      </c>
      <c r="BK12" s="46">
        <f t="shared" si="40"/>
        <v>0</v>
      </c>
      <c r="BL12" s="46">
        <f t="shared" si="229"/>
        <v>0</v>
      </c>
      <c r="BM12" s="45">
        <f t="shared" si="230"/>
        <v>0</v>
      </c>
      <c r="BN12" s="45">
        <f t="shared" si="231"/>
        <v>0</v>
      </c>
      <c r="BO12" s="52">
        <v>0</v>
      </c>
      <c r="BP12" s="19">
        <v>0</v>
      </c>
      <c r="BQ12" s="47">
        <f t="shared" si="232"/>
        <v>0</v>
      </c>
      <c r="BR12" s="46">
        <f t="shared" si="45"/>
        <v>0</v>
      </c>
      <c r="BS12" s="46">
        <f t="shared" si="46"/>
        <v>0</v>
      </c>
      <c r="BT12" s="46">
        <f t="shared" si="233"/>
        <v>0</v>
      </c>
      <c r="BU12" s="45">
        <f t="shared" si="234"/>
        <v>0</v>
      </c>
      <c r="BV12" s="45">
        <f t="shared" si="235"/>
        <v>0</v>
      </c>
      <c r="BW12" s="52">
        <v>0</v>
      </c>
      <c r="BX12" s="19">
        <v>0</v>
      </c>
      <c r="BY12" s="47">
        <f t="shared" si="236"/>
        <v>0</v>
      </c>
      <c r="BZ12" s="46">
        <f t="shared" si="51"/>
        <v>0</v>
      </c>
      <c r="CA12" s="46">
        <f t="shared" si="52"/>
        <v>0</v>
      </c>
      <c r="CB12" s="46">
        <f t="shared" si="237"/>
        <v>0</v>
      </c>
      <c r="CC12" s="45">
        <f t="shared" si="238"/>
        <v>0</v>
      </c>
      <c r="CD12" s="45">
        <f t="shared" si="239"/>
        <v>0</v>
      </c>
      <c r="CE12" s="52">
        <v>0</v>
      </c>
      <c r="CF12" s="19">
        <v>0</v>
      </c>
      <c r="CG12" s="47">
        <f t="shared" si="240"/>
        <v>0</v>
      </c>
      <c r="CH12" s="46">
        <f t="shared" si="57"/>
        <v>0</v>
      </c>
      <c r="CI12" s="46">
        <f t="shared" si="58"/>
        <v>0</v>
      </c>
      <c r="CJ12" s="46">
        <f t="shared" si="241"/>
        <v>0</v>
      </c>
      <c r="CK12" s="45">
        <f t="shared" si="242"/>
        <v>0</v>
      </c>
      <c r="CL12" s="45">
        <f t="shared" si="243"/>
        <v>0</v>
      </c>
      <c r="CM12" s="52">
        <v>0</v>
      </c>
      <c r="CN12" s="19">
        <v>0</v>
      </c>
      <c r="CO12" s="47">
        <f t="shared" si="244"/>
        <v>0</v>
      </c>
      <c r="CP12" s="46">
        <f t="shared" si="63"/>
        <v>0</v>
      </c>
      <c r="CQ12" s="46">
        <f t="shared" si="64"/>
        <v>0</v>
      </c>
      <c r="CR12" s="46">
        <f t="shared" si="245"/>
        <v>0</v>
      </c>
      <c r="CS12" s="45">
        <f t="shared" si="246"/>
        <v>0</v>
      </c>
      <c r="CT12" s="45">
        <f t="shared" si="247"/>
        <v>0</v>
      </c>
      <c r="CU12" s="52">
        <v>0</v>
      </c>
      <c r="CV12" s="19">
        <v>0</v>
      </c>
      <c r="CW12" s="47">
        <f t="shared" si="248"/>
        <v>0</v>
      </c>
      <c r="CX12" s="46">
        <f t="shared" si="69"/>
        <v>0</v>
      </c>
      <c r="CY12" s="46">
        <f t="shared" si="70"/>
        <v>0</v>
      </c>
      <c r="CZ12" s="46">
        <f t="shared" si="249"/>
        <v>0</v>
      </c>
      <c r="DA12" s="45">
        <f t="shared" si="250"/>
        <v>0</v>
      </c>
      <c r="DB12" s="45">
        <f t="shared" si="251"/>
        <v>0</v>
      </c>
      <c r="DC12" s="52">
        <v>0</v>
      </c>
      <c r="DD12" s="19">
        <v>0</v>
      </c>
      <c r="DE12" s="47">
        <v>0</v>
      </c>
      <c r="DF12" s="46">
        <f t="shared" si="74"/>
        <v>0</v>
      </c>
      <c r="DG12" s="46">
        <f t="shared" si="75"/>
        <v>0</v>
      </c>
      <c r="DH12" s="46">
        <f t="shared" si="252"/>
        <v>0</v>
      </c>
      <c r="DI12" s="45">
        <f t="shared" si="253"/>
        <v>0</v>
      </c>
      <c r="DJ12" s="45">
        <f t="shared" si="254"/>
        <v>0</v>
      </c>
      <c r="DK12" s="52">
        <v>0</v>
      </c>
      <c r="DL12" s="19">
        <v>0</v>
      </c>
      <c r="DM12" s="47">
        <f t="shared" si="255"/>
        <v>0</v>
      </c>
      <c r="DN12" s="46">
        <f t="shared" si="80"/>
        <v>0</v>
      </c>
      <c r="DO12" s="46">
        <f t="shared" si="81"/>
        <v>0</v>
      </c>
      <c r="DP12" s="46">
        <f t="shared" si="256"/>
        <v>0</v>
      </c>
      <c r="DQ12" s="45">
        <f t="shared" si="257"/>
        <v>0</v>
      </c>
      <c r="DR12" s="45">
        <f t="shared" si="258"/>
        <v>0</v>
      </c>
    </row>
    <row r="13" spans="1:122" ht="18" customHeight="1" x14ac:dyDescent="0.3">
      <c r="A13" s="108"/>
      <c r="B13" s="106"/>
      <c r="C13" s="111"/>
      <c r="D13" s="133"/>
      <c r="E13" s="18"/>
      <c r="F13" s="18" t="s">
        <v>15</v>
      </c>
      <c r="G13" s="70">
        <v>1</v>
      </c>
      <c r="H13" s="71">
        <v>1</v>
      </c>
      <c r="I13" s="71">
        <f t="shared" si="0"/>
        <v>0</v>
      </c>
      <c r="J13" s="58">
        <f t="shared" si="201"/>
        <v>0</v>
      </c>
      <c r="K13" s="52">
        <v>0</v>
      </c>
      <c r="L13" s="19">
        <v>0</v>
      </c>
      <c r="M13" s="47">
        <f t="shared" si="202"/>
        <v>0</v>
      </c>
      <c r="N13" s="46">
        <f t="shared" si="203"/>
        <v>0</v>
      </c>
      <c r="O13" s="46">
        <f t="shared" si="204"/>
        <v>0</v>
      </c>
      <c r="P13" s="46">
        <f t="shared" si="205"/>
        <v>0</v>
      </c>
      <c r="Q13" s="45">
        <f t="shared" si="206"/>
        <v>0</v>
      </c>
      <c r="R13" s="45">
        <f t="shared" si="207"/>
        <v>0</v>
      </c>
      <c r="S13" s="52">
        <v>0</v>
      </c>
      <c r="T13" s="19">
        <v>0</v>
      </c>
      <c r="U13" s="47">
        <f t="shared" si="208"/>
        <v>0</v>
      </c>
      <c r="V13" s="46">
        <f t="shared" si="9"/>
        <v>0</v>
      </c>
      <c r="W13" s="46">
        <f t="shared" si="10"/>
        <v>0</v>
      </c>
      <c r="X13" s="46">
        <f t="shared" si="209"/>
        <v>0</v>
      </c>
      <c r="Y13" s="45">
        <f t="shared" si="210"/>
        <v>0</v>
      </c>
      <c r="Z13" s="45">
        <f t="shared" si="211"/>
        <v>0</v>
      </c>
      <c r="AA13" s="52">
        <v>0</v>
      </c>
      <c r="AB13" s="19">
        <v>0</v>
      </c>
      <c r="AC13" s="47">
        <f t="shared" si="212"/>
        <v>0</v>
      </c>
      <c r="AD13" s="46">
        <f t="shared" si="15"/>
        <v>0</v>
      </c>
      <c r="AE13" s="46">
        <f t="shared" si="16"/>
        <v>0</v>
      </c>
      <c r="AF13" s="46">
        <f t="shared" si="213"/>
        <v>0</v>
      </c>
      <c r="AG13" s="45">
        <f t="shared" si="214"/>
        <v>0</v>
      </c>
      <c r="AH13" s="45">
        <f t="shared" si="215"/>
        <v>0</v>
      </c>
      <c r="AI13" s="52">
        <v>0</v>
      </c>
      <c r="AJ13" s="19">
        <v>0</v>
      </c>
      <c r="AK13" s="47">
        <f t="shared" si="216"/>
        <v>0</v>
      </c>
      <c r="AL13" s="46">
        <f t="shared" si="21"/>
        <v>0</v>
      </c>
      <c r="AM13" s="46">
        <f t="shared" si="22"/>
        <v>0</v>
      </c>
      <c r="AN13" s="46">
        <f t="shared" si="217"/>
        <v>0</v>
      </c>
      <c r="AO13" s="45">
        <f t="shared" si="218"/>
        <v>0</v>
      </c>
      <c r="AP13" s="45">
        <f t="shared" si="219"/>
        <v>0</v>
      </c>
      <c r="AQ13" s="52">
        <v>0</v>
      </c>
      <c r="AR13" s="19">
        <v>0</v>
      </c>
      <c r="AS13" s="47">
        <f t="shared" si="220"/>
        <v>0</v>
      </c>
      <c r="AT13" s="46">
        <f t="shared" si="27"/>
        <v>0</v>
      </c>
      <c r="AU13" s="46">
        <f t="shared" si="28"/>
        <v>0</v>
      </c>
      <c r="AV13" s="46">
        <f t="shared" si="221"/>
        <v>0</v>
      </c>
      <c r="AW13" s="45">
        <f t="shared" si="222"/>
        <v>0</v>
      </c>
      <c r="AX13" s="45">
        <f t="shared" si="223"/>
        <v>0</v>
      </c>
      <c r="AY13" s="52">
        <v>0</v>
      </c>
      <c r="AZ13" s="19">
        <v>0</v>
      </c>
      <c r="BA13" s="47">
        <f t="shared" si="224"/>
        <v>0</v>
      </c>
      <c r="BB13" s="46">
        <f t="shared" si="33"/>
        <v>0</v>
      </c>
      <c r="BC13" s="46">
        <f t="shared" si="34"/>
        <v>0</v>
      </c>
      <c r="BD13" s="46">
        <f t="shared" si="225"/>
        <v>0</v>
      </c>
      <c r="BE13" s="45">
        <f t="shared" si="226"/>
        <v>0</v>
      </c>
      <c r="BF13" s="45">
        <f t="shared" si="227"/>
        <v>0</v>
      </c>
      <c r="BG13" s="52">
        <v>0</v>
      </c>
      <c r="BH13" s="19">
        <v>0</v>
      </c>
      <c r="BI13" s="47">
        <f t="shared" si="228"/>
        <v>0</v>
      </c>
      <c r="BJ13" s="46">
        <f t="shared" si="39"/>
        <v>0</v>
      </c>
      <c r="BK13" s="46">
        <f t="shared" si="40"/>
        <v>0</v>
      </c>
      <c r="BL13" s="46">
        <f t="shared" si="229"/>
        <v>0</v>
      </c>
      <c r="BM13" s="45">
        <f t="shared" si="230"/>
        <v>0</v>
      </c>
      <c r="BN13" s="45">
        <f t="shared" si="231"/>
        <v>0</v>
      </c>
      <c r="BO13" s="52">
        <v>0</v>
      </c>
      <c r="BP13" s="19">
        <v>0</v>
      </c>
      <c r="BQ13" s="47">
        <f t="shared" si="232"/>
        <v>0</v>
      </c>
      <c r="BR13" s="46">
        <f t="shared" si="45"/>
        <v>0</v>
      </c>
      <c r="BS13" s="46">
        <f t="shared" si="46"/>
        <v>0</v>
      </c>
      <c r="BT13" s="46">
        <f t="shared" si="233"/>
        <v>0</v>
      </c>
      <c r="BU13" s="45">
        <f t="shared" si="234"/>
        <v>0</v>
      </c>
      <c r="BV13" s="45">
        <f t="shared" si="235"/>
        <v>0</v>
      </c>
      <c r="BW13" s="52">
        <v>0</v>
      </c>
      <c r="BX13" s="19">
        <v>0</v>
      </c>
      <c r="BY13" s="47">
        <f t="shared" si="236"/>
        <v>0</v>
      </c>
      <c r="BZ13" s="46">
        <f t="shared" si="51"/>
        <v>0</v>
      </c>
      <c r="CA13" s="46">
        <f t="shared" si="52"/>
        <v>0</v>
      </c>
      <c r="CB13" s="46">
        <f t="shared" si="237"/>
        <v>0</v>
      </c>
      <c r="CC13" s="45">
        <f t="shared" si="238"/>
        <v>0</v>
      </c>
      <c r="CD13" s="45">
        <f t="shared" si="239"/>
        <v>0</v>
      </c>
      <c r="CE13" s="52">
        <v>0</v>
      </c>
      <c r="CF13" s="19">
        <v>0</v>
      </c>
      <c r="CG13" s="47">
        <f t="shared" si="240"/>
        <v>0</v>
      </c>
      <c r="CH13" s="46">
        <f t="shared" si="57"/>
        <v>0</v>
      </c>
      <c r="CI13" s="46">
        <f t="shared" si="58"/>
        <v>0</v>
      </c>
      <c r="CJ13" s="46">
        <f t="shared" si="241"/>
        <v>0</v>
      </c>
      <c r="CK13" s="45">
        <f t="shared" si="242"/>
        <v>0</v>
      </c>
      <c r="CL13" s="45">
        <f t="shared" si="243"/>
        <v>0</v>
      </c>
      <c r="CM13" s="52">
        <v>0</v>
      </c>
      <c r="CN13" s="19">
        <v>0</v>
      </c>
      <c r="CO13" s="47">
        <f t="shared" si="244"/>
        <v>0</v>
      </c>
      <c r="CP13" s="46">
        <f t="shared" si="63"/>
        <v>0</v>
      </c>
      <c r="CQ13" s="46">
        <f t="shared" si="64"/>
        <v>0</v>
      </c>
      <c r="CR13" s="46">
        <f t="shared" si="245"/>
        <v>0</v>
      </c>
      <c r="CS13" s="45">
        <f t="shared" si="246"/>
        <v>0</v>
      </c>
      <c r="CT13" s="45">
        <f t="shared" si="247"/>
        <v>0</v>
      </c>
      <c r="CU13" s="52">
        <v>0</v>
      </c>
      <c r="CV13" s="19">
        <v>0</v>
      </c>
      <c r="CW13" s="47">
        <f t="shared" si="248"/>
        <v>0</v>
      </c>
      <c r="CX13" s="46">
        <f t="shared" si="69"/>
        <v>0</v>
      </c>
      <c r="CY13" s="46">
        <f t="shared" si="70"/>
        <v>0</v>
      </c>
      <c r="CZ13" s="46">
        <f t="shared" si="249"/>
        <v>0</v>
      </c>
      <c r="DA13" s="45">
        <f t="shared" si="250"/>
        <v>0</v>
      </c>
      <c r="DB13" s="45">
        <f t="shared" si="251"/>
        <v>0</v>
      </c>
      <c r="DC13" s="52">
        <v>0</v>
      </c>
      <c r="DD13" s="19">
        <v>0</v>
      </c>
      <c r="DE13" s="47">
        <v>0</v>
      </c>
      <c r="DF13" s="46">
        <f t="shared" si="74"/>
        <v>0</v>
      </c>
      <c r="DG13" s="46">
        <f t="shared" si="75"/>
        <v>0</v>
      </c>
      <c r="DH13" s="46">
        <f t="shared" si="252"/>
        <v>0</v>
      </c>
      <c r="DI13" s="45">
        <f t="shared" si="253"/>
        <v>0</v>
      </c>
      <c r="DJ13" s="45">
        <f t="shared" si="254"/>
        <v>0</v>
      </c>
      <c r="DK13" s="52">
        <v>0</v>
      </c>
      <c r="DL13" s="19">
        <v>0</v>
      </c>
      <c r="DM13" s="47">
        <f t="shared" si="255"/>
        <v>0</v>
      </c>
      <c r="DN13" s="46">
        <f t="shared" si="80"/>
        <v>0</v>
      </c>
      <c r="DO13" s="46">
        <f t="shared" si="81"/>
        <v>0</v>
      </c>
      <c r="DP13" s="46">
        <f t="shared" si="256"/>
        <v>0</v>
      </c>
      <c r="DQ13" s="45">
        <f t="shared" si="257"/>
        <v>0</v>
      </c>
      <c r="DR13" s="45">
        <f t="shared" si="258"/>
        <v>0</v>
      </c>
    </row>
    <row r="14" spans="1:122" ht="18.600000000000001" customHeight="1" x14ac:dyDescent="0.3">
      <c r="A14" s="108"/>
      <c r="B14" s="104" t="s">
        <v>53</v>
      </c>
      <c r="C14" s="104" t="s">
        <v>59</v>
      </c>
      <c r="D14" s="110" t="s">
        <v>73</v>
      </c>
      <c r="E14" s="44"/>
      <c r="F14" s="18" t="s">
        <v>14</v>
      </c>
      <c r="G14" s="70">
        <v>1</v>
      </c>
      <c r="H14" s="71">
        <v>1</v>
      </c>
      <c r="I14" s="71">
        <f t="shared" si="0"/>
        <v>0</v>
      </c>
      <c r="J14" s="58">
        <f t="shared" si="201"/>
        <v>0</v>
      </c>
      <c r="K14" s="52">
        <v>0</v>
      </c>
      <c r="L14" s="19">
        <v>0</v>
      </c>
      <c r="M14" s="47">
        <f t="shared" si="202"/>
        <v>0</v>
      </c>
      <c r="N14" s="46">
        <f t="shared" si="203"/>
        <v>0</v>
      </c>
      <c r="O14" s="46">
        <f t="shared" si="204"/>
        <v>0</v>
      </c>
      <c r="P14" s="46">
        <f t="shared" si="205"/>
        <v>0</v>
      </c>
      <c r="Q14" s="45">
        <f t="shared" si="206"/>
        <v>0</v>
      </c>
      <c r="R14" s="45">
        <f t="shared" si="207"/>
        <v>0</v>
      </c>
      <c r="S14" s="52">
        <v>0</v>
      </c>
      <c r="T14" s="19">
        <v>0</v>
      </c>
      <c r="U14" s="47">
        <f t="shared" si="208"/>
        <v>0</v>
      </c>
      <c r="V14" s="46">
        <f t="shared" si="9"/>
        <v>0</v>
      </c>
      <c r="W14" s="46">
        <f t="shared" ref="W14:W22" si="259">O14+T14</f>
        <v>0</v>
      </c>
      <c r="X14" s="46">
        <f t="shared" ref="X14:X22" si="260">W14-V14</f>
        <v>0</v>
      </c>
      <c r="Y14" s="45">
        <f t="shared" ref="Y14:Y22" si="261">V14/$G14</f>
        <v>0</v>
      </c>
      <c r="Z14" s="45">
        <f t="shared" ref="Z14:Z22" si="262">W14/$G14</f>
        <v>0</v>
      </c>
      <c r="AA14" s="52">
        <v>0</v>
      </c>
      <c r="AB14" s="19">
        <v>0</v>
      </c>
      <c r="AC14" s="47">
        <f t="shared" ref="AC14:AC22" si="263">IFERROR(IF((AB14/AA14)&gt;=1,100%,(AB14/AA14)),0%)</f>
        <v>0</v>
      </c>
      <c r="AD14" s="46">
        <f t="shared" ref="AD14:AD22" si="264">V14+AA14</f>
        <v>0</v>
      </c>
      <c r="AE14" s="46">
        <f t="shared" ref="AE14:AE22" si="265">W14+AB14</f>
        <v>0</v>
      </c>
      <c r="AF14" s="46">
        <f t="shared" ref="AF14:AF22" si="266">AE14-AD14</f>
        <v>0</v>
      </c>
      <c r="AG14" s="45">
        <f t="shared" ref="AG14:AG22" si="267">AD14/$G14</f>
        <v>0</v>
      </c>
      <c r="AH14" s="45">
        <f t="shared" ref="AH14:AH22" si="268">AE14/$G14</f>
        <v>0</v>
      </c>
      <c r="AI14" s="52">
        <v>0</v>
      </c>
      <c r="AJ14" s="19">
        <v>0</v>
      </c>
      <c r="AK14" s="47">
        <f t="shared" ref="AK14:AK22" si="269">IFERROR(IF((AJ14/AI14)&gt;=1,100%,(AJ14/AI14)),0%)</f>
        <v>0</v>
      </c>
      <c r="AL14" s="46">
        <f t="shared" ref="AL14:AL22" si="270">AD14+AI14</f>
        <v>0</v>
      </c>
      <c r="AM14" s="46">
        <f t="shared" ref="AM14:AM22" si="271">AE14+AJ14</f>
        <v>0</v>
      </c>
      <c r="AN14" s="46">
        <f t="shared" ref="AN14:AN22" si="272">AM14-AL14</f>
        <v>0</v>
      </c>
      <c r="AO14" s="45">
        <f t="shared" ref="AO14:AO22" si="273">AL14/$G14</f>
        <v>0</v>
      </c>
      <c r="AP14" s="45">
        <f t="shared" ref="AP14:AP22" si="274">AM14/$G14</f>
        <v>0</v>
      </c>
      <c r="AQ14" s="52">
        <v>0</v>
      </c>
      <c r="AR14" s="19">
        <v>0</v>
      </c>
      <c r="AS14" s="47">
        <f t="shared" ref="AS14:AS22" si="275">IFERROR(IF((AR14/AQ14)&gt;=1,100%,(AR14/AQ14)),0%)</f>
        <v>0</v>
      </c>
      <c r="AT14" s="46">
        <f t="shared" ref="AT14:AT22" si="276">AL14+AQ14</f>
        <v>0</v>
      </c>
      <c r="AU14" s="46">
        <f t="shared" ref="AU14:AU22" si="277">AM14+AR14</f>
        <v>0</v>
      </c>
      <c r="AV14" s="46">
        <f t="shared" ref="AV14:AV22" si="278">AU14-AT14</f>
        <v>0</v>
      </c>
      <c r="AW14" s="45">
        <f t="shared" ref="AW14:AW22" si="279">AT14/$G14</f>
        <v>0</v>
      </c>
      <c r="AX14" s="45">
        <f t="shared" ref="AX14:AX22" si="280">AU14/$G14</f>
        <v>0</v>
      </c>
      <c r="AY14" s="52">
        <v>0</v>
      </c>
      <c r="AZ14" s="19">
        <v>0</v>
      </c>
      <c r="BA14" s="47">
        <f t="shared" ref="BA14:BA22" si="281">IFERROR(IF((AZ14/AY14)&gt;=1,100%,(AZ14/AY14)),0%)</f>
        <v>0</v>
      </c>
      <c r="BB14" s="46">
        <f t="shared" ref="BB14:BB22" si="282">AT14+AY14</f>
        <v>0</v>
      </c>
      <c r="BC14" s="46">
        <f t="shared" ref="BC14:BC22" si="283">AU14+AZ14</f>
        <v>0</v>
      </c>
      <c r="BD14" s="46">
        <f t="shared" ref="BD14:BD22" si="284">BC14-BB14</f>
        <v>0</v>
      </c>
      <c r="BE14" s="45">
        <f t="shared" ref="BE14:BE22" si="285">BB14/$G14</f>
        <v>0</v>
      </c>
      <c r="BF14" s="45">
        <f t="shared" ref="BF14:BF22" si="286">BC14/$G14</f>
        <v>0</v>
      </c>
      <c r="BG14" s="52">
        <v>0</v>
      </c>
      <c r="BH14" s="19">
        <v>0</v>
      </c>
      <c r="BI14" s="47">
        <f t="shared" ref="BI14:BI22" si="287">IFERROR(IF((BH14/BG14)&gt;=1,100%,(BH14/BG14)),0%)</f>
        <v>0</v>
      </c>
      <c r="BJ14" s="46">
        <f t="shared" ref="BJ14:BJ22" si="288">BB14+BG14</f>
        <v>0</v>
      </c>
      <c r="BK14" s="46">
        <f t="shared" ref="BK14:BK26" si="289">BC14+BH14</f>
        <v>0</v>
      </c>
      <c r="BL14" s="46">
        <f t="shared" ref="BL14:BL28" si="290">BK14-BJ14</f>
        <v>0</v>
      </c>
      <c r="BM14" s="45">
        <f t="shared" ref="BM14:BM22" si="291">BJ14/$G14</f>
        <v>0</v>
      </c>
      <c r="BN14" s="45">
        <f t="shared" ref="BN14:BN22" si="292">BK14/$G14</f>
        <v>0</v>
      </c>
      <c r="BO14" s="52">
        <v>0</v>
      </c>
      <c r="BP14" s="19">
        <v>0</v>
      </c>
      <c r="BQ14" s="47">
        <f t="shared" ref="BQ14:BQ22" si="293">IFERROR(IF((BP14/BO14)&gt;=1,100%,(BP14/BO14)),0%)</f>
        <v>0</v>
      </c>
      <c r="BR14" s="46">
        <f t="shared" ref="BR14:BR22" si="294">BJ14+BO14</f>
        <v>0</v>
      </c>
      <c r="BS14" s="46">
        <f t="shared" ref="BS14:BS22" si="295">BK14+BP14</f>
        <v>0</v>
      </c>
      <c r="BT14" s="46">
        <f t="shared" ref="BT14:BT22" si="296">BS14-BR14</f>
        <v>0</v>
      </c>
      <c r="BU14" s="45">
        <f t="shared" ref="BU14:BU22" si="297">BR14/$G14</f>
        <v>0</v>
      </c>
      <c r="BV14" s="45">
        <f t="shared" ref="BV14:BV22" si="298">BS14/$G14</f>
        <v>0</v>
      </c>
      <c r="BW14" s="52">
        <v>0</v>
      </c>
      <c r="BX14" s="19">
        <v>0</v>
      </c>
      <c r="BY14" s="47">
        <f t="shared" ref="BY14:BY22" si="299">IFERROR(IF((BX14/BW14)&gt;=1,100%,(BX14/BW14)),0%)</f>
        <v>0</v>
      </c>
      <c r="BZ14" s="46">
        <f t="shared" ref="BZ14:BZ22" si="300">BR14+BW14</f>
        <v>0</v>
      </c>
      <c r="CA14" s="46">
        <f t="shared" ref="CA14:CA22" si="301">BS14+BX14</f>
        <v>0</v>
      </c>
      <c r="CB14" s="46">
        <f t="shared" ref="CB14:CB22" si="302">CA14-BZ14</f>
        <v>0</v>
      </c>
      <c r="CC14" s="45">
        <f t="shared" ref="CC14:CC22" si="303">BZ14/$G14</f>
        <v>0</v>
      </c>
      <c r="CD14" s="45">
        <f t="shared" ref="CD14:CD22" si="304">CA14/$G14</f>
        <v>0</v>
      </c>
      <c r="CE14" s="52">
        <v>0</v>
      </c>
      <c r="CF14" s="19">
        <v>0</v>
      </c>
      <c r="CG14" s="47">
        <f t="shared" ref="CG14:CG22" si="305">IFERROR(IF((CF14/CE14)&gt;=1,100%,(CF14/CE14)),0%)</f>
        <v>0</v>
      </c>
      <c r="CH14" s="46">
        <f t="shared" ref="CH14:CH22" si="306">BZ14+CE14</f>
        <v>0</v>
      </c>
      <c r="CI14" s="46">
        <f t="shared" ref="CI14:CI22" si="307">CA14+CF14</f>
        <v>0</v>
      </c>
      <c r="CJ14" s="46">
        <f t="shared" ref="CJ14:CJ22" si="308">CI14-CH14</f>
        <v>0</v>
      </c>
      <c r="CK14" s="45">
        <f t="shared" ref="CK14:CK22" si="309">CH14/$G14</f>
        <v>0</v>
      </c>
      <c r="CL14" s="45">
        <f t="shared" ref="CL14:CL22" si="310">CI14/$G14</f>
        <v>0</v>
      </c>
      <c r="CM14" s="52">
        <v>0</v>
      </c>
      <c r="CN14" s="19">
        <v>0</v>
      </c>
      <c r="CO14" s="47">
        <f t="shared" ref="CO14:CO22" si="311">IFERROR(IF((CN14/CM14)&gt;=1,100%,(CN14/CM14)),0%)</f>
        <v>0</v>
      </c>
      <c r="CP14" s="46">
        <f t="shared" ref="CP14:CP22" si="312">CH14+CM14</f>
        <v>0</v>
      </c>
      <c r="CQ14" s="46">
        <f t="shared" ref="CQ14:CQ22" si="313">CI14+CN14</f>
        <v>0</v>
      </c>
      <c r="CR14" s="46">
        <f t="shared" ref="CR14:CR22" si="314">CQ14-CP14</f>
        <v>0</v>
      </c>
      <c r="CS14" s="45">
        <f t="shared" ref="CS14:CS22" si="315">CP14/$G14</f>
        <v>0</v>
      </c>
      <c r="CT14" s="45">
        <f t="shared" ref="CT14:CT22" si="316">CQ14/$G14</f>
        <v>0</v>
      </c>
      <c r="CU14" s="52">
        <v>0</v>
      </c>
      <c r="CV14" s="19">
        <v>0</v>
      </c>
      <c r="CW14" s="47">
        <f t="shared" ref="CW14:CW22" si="317">IFERROR(IF((CV14/CU14)&gt;=1,100%,(CV14/CU14)),0%)</f>
        <v>0</v>
      </c>
      <c r="CX14" s="46">
        <f t="shared" ref="CX14:CX22" si="318">CP14+CU14</f>
        <v>0</v>
      </c>
      <c r="CY14" s="46">
        <f t="shared" ref="CY14:CY22" si="319">CQ14+CV14</f>
        <v>0</v>
      </c>
      <c r="CZ14" s="46">
        <f t="shared" ref="CZ14:CZ22" si="320">CY14-CX14</f>
        <v>0</v>
      </c>
      <c r="DA14" s="45">
        <f t="shared" ref="DA14:DA22" si="321">CX14/$G14</f>
        <v>0</v>
      </c>
      <c r="DB14" s="45">
        <f t="shared" ref="DB14:DB22" si="322">CY14/$G14</f>
        <v>0</v>
      </c>
      <c r="DC14" s="52">
        <v>0</v>
      </c>
      <c r="DD14" s="19">
        <v>0</v>
      </c>
      <c r="DE14" s="47">
        <v>0</v>
      </c>
      <c r="DF14" s="46">
        <f t="shared" ref="DF14:DF22" si="323">CX14+DC14</f>
        <v>0</v>
      </c>
      <c r="DG14" s="46">
        <f t="shared" ref="DG14:DG22" si="324">CY14+DD14</f>
        <v>0</v>
      </c>
      <c r="DH14" s="46">
        <f t="shared" ref="DH14:DH22" si="325">DG14-DF14</f>
        <v>0</v>
      </c>
      <c r="DI14" s="45">
        <f t="shared" ref="DI14:DI22" si="326">DF14/$G14</f>
        <v>0</v>
      </c>
      <c r="DJ14" s="45">
        <f t="shared" ref="DJ14:DJ22" si="327">DG14/$G14</f>
        <v>0</v>
      </c>
      <c r="DK14" s="52">
        <v>0</v>
      </c>
      <c r="DL14" s="19">
        <v>0</v>
      </c>
      <c r="DM14" s="47">
        <f t="shared" ref="DM14:DM22" si="328">IFERROR(IF((DL14/DK14)&gt;=1,100%,(DL14/DK14)),0%)</f>
        <v>0</v>
      </c>
      <c r="DN14" s="46">
        <f t="shared" ref="DN14:DN22" si="329">DF14+DK14</f>
        <v>0</v>
      </c>
      <c r="DO14" s="46">
        <f t="shared" ref="DO14:DO22" si="330">DG14+DL14</f>
        <v>0</v>
      </c>
      <c r="DP14" s="46">
        <f t="shared" ref="DP14:DP22" si="331">DO14-DN14</f>
        <v>0</v>
      </c>
      <c r="DQ14" s="45">
        <f t="shared" ref="DQ14:DQ22" si="332">DN14/$G14</f>
        <v>0</v>
      </c>
      <c r="DR14" s="45">
        <f t="shared" ref="DR14:DR22" si="333">DO14/$G14</f>
        <v>0</v>
      </c>
    </row>
    <row r="15" spans="1:122" ht="18.600000000000001" customHeight="1" x14ac:dyDescent="0.3">
      <c r="A15" s="108"/>
      <c r="B15" s="105"/>
      <c r="C15" s="105"/>
      <c r="D15" s="111"/>
      <c r="E15" s="44"/>
      <c r="F15" s="18" t="s">
        <v>16</v>
      </c>
      <c r="G15" s="70">
        <v>1</v>
      </c>
      <c r="H15" s="71">
        <v>1</v>
      </c>
      <c r="I15" s="71">
        <f t="shared" si="0"/>
        <v>0</v>
      </c>
      <c r="J15" s="58">
        <f t="shared" si="201"/>
        <v>0</v>
      </c>
      <c r="K15" s="52">
        <v>0</v>
      </c>
      <c r="L15" s="19">
        <v>0</v>
      </c>
      <c r="M15" s="47">
        <f t="shared" si="202"/>
        <v>0</v>
      </c>
      <c r="N15" s="46">
        <f t="shared" si="203"/>
        <v>0</v>
      </c>
      <c r="O15" s="46">
        <f t="shared" si="204"/>
        <v>0</v>
      </c>
      <c r="P15" s="46">
        <f t="shared" si="205"/>
        <v>0</v>
      </c>
      <c r="Q15" s="45">
        <f t="shared" si="206"/>
        <v>0</v>
      </c>
      <c r="R15" s="45">
        <f t="shared" si="207"/>
        <v>0</v>
      </c>
      <c r="S15" s="52">
        <v>0</v>
      </c>
      <c r="T15" s="19">
        <v>0</v>
      </c>
      <c r="U15" s="47">
        <f t="shared" si="208"/>
        <v>0</v>
      </c>
      <c r="V15" s="46">
        <f t="shared" si="9"/>
        <v>0</v>
      </c>
      <c r="W15" s="46">
        <f t="shared" si="259"/>
        <v>0</v>
      </c>
      <c r="X15" s="46">
        <f t="shared" si="260"/>
        <v>0</v>
      </c>
      <c r="Y15" s="45">
        <f t="shared" si="261"/>
        <v>0</v>
      </c>
      <c r="Z15" s="45">
        <f t="shared" si="262"/>
        <v>0</v>
      </c>
      <c r="AA15" s="52">
        <v>0</v>
      </c>
      <c r="AB15" s="19">
        <v>0</v>
      </c>
      <c r="AC15" s="47">
        <f t="shared" si="263"/>
        <v>0</v>
      </c>
      <c r="AD15" s="46">
        <f t="shared" si="264"/>
        <v>0</v>
      </c>
      <c r="AE15" s="46">
        <f t="shared" si="265"/>
        <v>0</v>
      </c>
      <c r="AF15" s="46">
        <f t="shared" si="266"/>
        <v>0</v>
      </c>
      <c r="AG15" s="45">
        <f t="shared" si="267"/>
        <v>0</v>
      </c>
      <c r="AH15" s="45">
        <f t="shared" si="268"/>
        <v>0</v>
      </c>
      <c r="AI15" s="52">
        <v>0</v>
      </c>
      <c r="AJ15" s="19">
        <v>0</v>
      </c>
      <c r="AK15" s="47">
        <f t="shared" si="269"/>
        <v>0</v>
      </c>
      <c r="AL15" s="46">
        <f t="shared" si="270"/>
        <v>0</v>
      </c>
      <c r="AM15" s="46">
        <f t="shared" si="271"/>
        <v>0</v>
      </c>
      <c r="AN15" s="46">
        <f t="shared" si="272"/>
        <v>0</v>
      </c>
      <c r="AO15" s="45">
        <f t="shared" si="273"/>
        <v>0</v>
      </c>
      <c r="AP15" s="45">
        <f t="shared" si="274"/>
        <v>0</v>
      </c>
      <c r="AQ15" s="52">
        <v>0</v>
      </c>
      <c r="AR15" s="19">
        <v>0</v>
      </c>
      <c r="AS15" s="47">
        <f t="shared" si="275"/>
        <v>0</v>
      </c>
      <c r="AT15" s="46">
        <f t="shared" si="276"/>
        <v>0</v>
      </c>
      <c r="AU15" s="46">
        <f t="shared" si="277"/>
        <v>0</v>
      </c>
      <c r="AV15" s="46">
        <f t="shared" si="278"/>
        <v>0</v>
      </c>
      <c r="AW15" s="45">
        <f t="shared" si="279"/>
        <v>0</v>
      </c>
      <c r="AX15" s="45">
        <f t="shared" si="280"/>
        <v>0</v>
      </c>
      <c r="AY15" s="52">
        <v>0</v>
      </c>
      <c r="AZ15" s="19">
        <v>0</v>
      </c>
      <c r="BA15" s="47">
        <f t="shared" si="281"/>
        <v>0</v>
      </c>
      <c r="BB15" s="46">
        <f t="shared" si="282"/>
        <v>0</v>
      </c>
      <c r="BC15" s="46">
        <f t="shared" si="283"/>
        <v>0</v>
      </c>
      <c r="BD15" s="46">
        <f t="shared" si="284"/>
        <v>0</v>
      </c>
      <c r="BE15" s="45">
        <f t="shared" si="285"/>
        <v>0</v>
      </c>
      <c r="BF15" s="45">
        <f t="shared" si="286"/>
        <v>0</v>
      </c>
      <c r="BG15" s="52">
        <v>0</v>
      </c>
      <c r="BH15" s="19">
        <v>0</v>
      </c>
      <c r="BI15" s="47">
        <f t="shared" si="287"/>
        <v>0</v>
      </c>
      <c r="BJ15" s="46">
        <f t="shared" si="288"/>
        <v>0</v>
      </c>
      <c r="BK15" s="46">
        <f t="shared" si="289"/>
        <v>0</v>
      </c>
      <c r="BL15" s="46">
        <f t="shared" si="290"/>
        <v>0</v>
      </c>
      <c r="BM15" s="45">
        <f t="shared" si="291"/>
        <v>0</v>
      </c>
      <c r="BN15" s="45">
        <f t="shared" si="292"/>
        <v>0</v>
      </c>
      <c r="BO15" s="52">
        <v>0</v>
      </c>
      <c r="BP15" s="19">
        <v>0</v>
      </c>
      <c r="BQ15" s="47">
        <f t="shared" si="293"/>
        <v>0</v>
      </c>
      <c r="BR15" s="46">
        <f t="shared" si="294"/>
        <v>0</v>
      </c>
      <c r="BS15" s="46">
        <f t="shared" si="295"/>
        <v>0</v>
      </c>
      <c r="BT15" s="46">
        <f t="shared" si="296"/>
        <v>0</v>
      </c>
      <c r="BU15" s="45">
        <f t="shared" si="297"/>
        <v>0</v>
      </c>
      <c r="BV15" s="45">
        <f t="shared" si="298"/>
        <v>0</v>
      </c>
      <c r="BW15" s="52">
        <v>0</v>
      </c>
      <c r="BX15" s="19">
        <v>0</v>
      </c>
      <c r="BY15" s="47">
        <f t="shared" si="299"/>
        <v>0</v>
      </c>
      <c r="BZ15" s="46">
        <f t="shared" si="300"/>
        <v>0</v>
      </c>
      <c r="CA15" s="46">
        <f t="shared" si="301"/>
        <v>0</v>
      </c>
      <c r="CB15" s="46">
        <f t="shared" si="302"/>
        <v>0</v>
      </c>
      <c r="CC15" s="45">
        <f t="shared" si="303"/>
        <v>0</v>
      </c>
      <c r="CD15" s="45">
        <f t="shared" si="304"/>
        <v>0</v>
      </c>
      <c r="CE15" s="52">
        <v>0</v>
      </c>
      <c r="CF15" s="19">
        <v>0</v>
      </c>
      <c r="CG15" s="47">
        <f t="shared" si="305"/>
        <v>0</v>
      </c>
      <c r="CH15" s="46">
        <f t="shared" si="306"/>
        <v>0</v>
      </c>
      <c r="CI15" s="46">
        <f t="shared" si="307"/>
        <v>0</v>
      </c>
      <c r="CJ15" s="46">
        <f t="shared" si="308"/>
        <v>0</v>
      </c>
      <c r="CK15" s="45">
        <f t="shared" si="309"/>
        <v>0</v>
      </c>
      <c r="CL15" s="45">
        <f t="shared" si="310"/>
        <v>0</v>
      </c>
      <c r="CM15" s="52">
        <v>0</v>
      </c>
      <c r="CN15" s="19">
        <v>0</v>
      </c>
      <c r="CO15" s="47">
        <f t="shared" si="311"/>
        <v>0</v>
      </c>
      <c r="CP15" s="46">
        <f t="shared" si="312"/>
        <v>0</v>
      </c>
      <c r="CQ15" s="46">
        <f t="shared" si="313"/>
        <v>0</v>
      </c>
      <c r="CR15" s="46">
        <f t="shared" si="314"/>
        <v>0</v>
      </c>
      <c r="CS15" s="45">
        <f t="shared" si="315"/>
        <v>0</v>
      </c>
      <c r="CT15" s="45">
        <f t="shared" si="316"/>
        <v>0</v>
      </c>
      <c r="CU15" s="52">
        <v>0</v>
      </c>
      <c r="CV15" s="19">
        <v>0</v>
      </c>
      <c r="CW15" s="47">
        <f t="shared" si="317"/>
        <v>0</v>
      </c>
      <c r="CX15" s="46">
        <f t="shared" si="318"/>
        <v>0</v>
      </c>
      <c r="CY15" s="46">
        <f t="shared" si="319"/>
        <v>0</v>
      </c>
      <c r="CZ15" s="46">
        <f t="shared" si="320"/>
        <v>0</v>
      </c>
      <c r="DA15" s="45">
        <f t="shared" si="321"/>
        <v>0</v>
      </c>
      <c r="DB15" s="45">
        <f t="shared" si="322"/>
        <v>0</v>
      </c>
      <c r="DC15" s="52">
        <v>0</v>
      </c>
      <c r="DD15" s="19">
        <v>0</v>
      </c>
      <c r="DE15" s="47">
        <v>0</v>
      </c>
      <c r="DF15" s="46">
        <f t="shared" si="323"/>
        <v>0</v>
      </c>
      <c r="DG15" s="46">
        <f t="shared" si="324"/>
        <v>0</v>
      </c>
      <c r="DH15" s="46">
        <f t="shared" si="325"/>
        <v>0</v>
      </c>
      <c r="DI15" s="45">
        <f t="shared" si="326"/>
        <v>0</v>
      </c>
      <c r="DJ15" s="45">
        <f t="shared" si="327"/>
        <v>0</v>
      </c>
      <c r="DK15" s="52">
        <v>0</v>
      </c>
      <c r="DL15" s="19">
        <v>0</v>
      </c>
      <c r="DM15" s="47">
        <f t="shared" si="328"/>
        <v>0</v>
      </c>
      <c r="DN15" s="46">
        <f t="shared" si="329"/>
        <v>0</v>
      </c>
      <c r="DO15" s="46">
        <f t="shared" si="330"/>
        <v>0</v>
      </c>
      <c r="DP15" s="46">
        <f t="shared" si="331"/>
        <v>0</v>
      </c>
      <c r="DQ15" s="45">
        <f t="shared" si="332"/>
        <v>0</v>
      </c>
      <c r="DR15" s="45">
        <f t="shared" si="333"/>
        <v>0</v>
      </c>
    </row>
    <row r="16" spans="1:122" ht="18.600000000000001" customHeight="1" x14ac:dyDescent="0.3">
      <c r="A16" s="108"/>
      <c r="B16" s="105"/>
      <c r="C16" s="106"/>
      <c r="D16" s="112"/>
      <c r="E16" s="44"/>
      <c r="F16" s="18" t="s">
        <v>15</v>
      </c>
      <c r="G16" s="70">
        <v>1</v>
      </c>
      <c r="H16" s="71">
        <v>1</v>
      </c>
      <c r="I16" s="71">
        <f t="shared" si="0"/>
        <v>0</v>
      </c>
      <c r="J16" s="58">
        <f t="shared" si="201"/>
        <v>0</v>
      </c>
      <c r="K16" s="52">
        <v>0</v>
      </c>
      <c r="L16" s="19">
        <v>0</v>
      </c>
      <c r="M16" s="47">
        <f t="shared" si="202"/>
        <v>0</v>
      </c>
      <c r="N16" s="46">
        <f t="shared" si="203"/>
        <v>0</v>
      </c>
      <c r="O16" s="46">
        <f t="shared" si="204"/>
        <v>0</v>
      </c>
      <c r="P16" s="46">
        <f t="shared" si="205"/>
        <v>0</v>
      </c>
      <c r="Q16" s="45">
        <f t="shared" si="206"/>
        <v>0</v>
      </c>
      <c r="R16" s="45">
        <f t="shared" si="207"/>
        <v>0</v>
      </c>
      <c r="S16" s="52">
        <v>0</v>
      </c>
      <c r="T16" s="19">
        <v>0</v>
      </c>
      <c r="U16" s="47">
        <f t="shared" si="208"/>
        <v>0</v>
      </c>
      <c r="V16" s="46">
        <f t="shared" si="9"/>
        <v>0</v>
      </c>
      <c r="W16" s="46">
        <f t="shared" si="259"/>
        <v>0</v>
      </c>
      <c r="X16" s="46">
        <f t="shared" si="260"/>
        <v>0</v>
      </c>
      <c r="Y16" s="45">
        <f t="shared" si="261"/>
        <v>0</v>
      </c>
      <c r="Z16" s="45">
        <f t="shared" si="262"/>
        <v>0</v>
      </c>
      <c r="AA16" s="52">
        <v>0</v>
      </c>
      <c r="AB16" s="19">
        <v>0</v>
      </c>
      <c r="AC16" s="47">
        <f t="shared" si="263"/>
        <v>0</v>
      </c>
      <c r="AD16" s="46">
        <f t="shared" si="264"/>
        <v>0</v>
      </c>
      <c r="AE16" s="46">
        <f t="shared" si="265"/>
        <v>0</v>
      </c>
      <c r="AF16" s="46">
        <f t="shared" si="266"/>
        <v>0</v>
      </c>
      <c r="AG16" s="45">
        <f t="shared" si="267"/>
        <v>0</v>
      </c>
      <c r="AH16" s="45">
        <f t="shared" si="268"/>
        <v>0</v>
      </c>
      <c r="AI16" s="52">
        <v>0</v>
      </c>
      <c r="AJ16" s="19">
        <v>0</v>
      </c>
      <c r="AK16" s="47">
        <f t="shared" si="269"/>
        <v>0</v>
      </c>
      <c r="AL16" s="46">
        <f t="shared" si="270"/>
        <v>0</v>
      </c>
      <c r="AM16" s="46">
        <f t="shared" si="271"/>
        <v>0</v>
      </c>
      <c r="AN16" s="46">
        <f t="shared" si="272"/>
        <v>0</v>
      </c>
      <c r="AO16" s="45">
        <f t="shared" si="273"/>
        <v>0</v>
      </c>
      <c r="AP16" s="45">
        <f t="shared" si="274"/>
        <v>0</v>
      </c>
      <c r="AQ16" s="52">
        <v>0</v>
      </c>
      <c r="AR16" s="19">
        <v>0</v>
      </c>
      <c r="AS16" s="47">
        <f t="shared" si="275"/>
        <v>0</v>
      </c>
      <c r="AT16" s="46">
        <f t="shared" si="276"/>
        <v>0</v>
      </c>
      <c r="AU16" s="46">
        <f t="shared" si="277"/>
        <v>0</v>
      </c>
      <c r="AV16" s="46">
        <f t="shared" si="278"/>
        <v>0</v>
      </c>
      <c r="AW16" s="45">
        <f t="shared" si="279"/>
        <v>0</v>
      </c>
      <c r="AX16" s="45">
        <f t="shared" si="280"/>
        <v>0</v>
      </c>
      <c r="AY16" s="52">
        <v>0</v>
      </c>
      <c r="AZ16" s="19">
        <v>0</v>
      </c>
      <c r="BA16" s="47">
        <f t="shared" si="281"/>
        <v>0</v>
      </c>
      <c r="BB16" s="46">
        <f t="shared" si="282"/>
        <v>0</v>
      </c>
      <c r="BC16" s="46">
        <f t="shared" si="283"/>
        <v>0</v>
      </c>
      <c r="BD16" s="46">
        <f t="shared" si="284"/>
        <v>0</v>
      </c>
      <c r="BE16" s="45">
        <f t="shared" si="285"/>
        <v>0</v>
      </c>
      <c r="BF16" s="45">
        <f t="shared" si="286"/>
        <v>0</v>
      </c>
      <c r="BG16" s="52">
        <v>0</v>
      </c>
      <c r="BH16" s="19">
        <v>0</v>
      </c>
      <c r="BI16" s="47">
        <f t="shared" si="287"/>
        <v>0</v>
      </c>
      <c r="BJ16" s="46">
        <f t="shared" si="288"/>
        <v>0</v>
      </c>
      <c r="BK16" s="46">
        <f t="shared" si="289"/>
        <v>0</v>
      </c>
      <c r="BL16" s="46">
        <f t="shared" si="290"/>
        <v>0</v>
      </c>
      <c r="BM16" s="45">
        <f t="shared" si="291"/>
        <v>0</v>
      </c>
      <c r="BN16" s="45">
        <f t="shared" si="292"/>
        <v>0</v>
      </c>
      <c r="BO16" s="52">
        <v>0</v>
      </c>
      <c r="BP16" s="19">
        <v>0</v>
      </c>
      <c r="BQ16" s="47">
        <f t="shared" si="293"/>
        <v>0</v>
      </c>
      <c r="BR16" s="46">
        <f t="shared" si="294"/>
        <v>0</v>
      </c>
      <c r="BS16" s="46">
        <f t="shared" si="295"/>
        <v>0</v>
      </c>
      <c r="BT16" s="46">
        <f t="shared" si="296"/>
        <v>0</v>
      </c>
      <c r="BU16" s="45">
        <f t="shared" si="297"/>
        <v>0</v>
      </c>
      <c r="BV16" s="45">
        <f t="shared" si="298"/>
        <v>0</v>
      </c>
      <c r="BW16" s="52">
        <v>0</v>
      </c>
      <c r="BX16" s="19">
        <v>0</v>
      </c>
      <c r="BY16" s="47">
        <f t="shared" si="299"/>
        <v>0</v>
      </c>
      <c r="BZ16" s="46">
        <f t="shared" si="300"/>
        <v>0</v>
      </c>
      <c r="CA16" s="46">
        <f t="shared" si="301"/>
        <v>0</v>
      </c>
      <c r="CB16" s="46">
        <f t="shared" si="302"/>
        <v>0</v>
      </c>
      <c r="CC16" s="45">
        <f t="shared" si="303"/>
        <v>0</v>
      </c>
      <c r="CD16" s="45">
        <f t="shared" si="304"/>
        <v>0</v>
      </c>
      <c r="CE16" s="52">
        <v>0</v>
      </c>
      <c r="CF16" s="19">
        <v>0</v>
      </c>
      <c r="CG16" s="47">
        <f t="shared" si="305"/>
        <v>0</v>
      </c>
      <c r="CH16" s="46">
        <f t="shared" si="306"/>
        <v>0</v>
      </c>
      <c r="CI16" s="46">
        <f t="shared" si="307"/>
        <v>0</v>
      </c>
      <c r="CJ16" s="46">
        <f t="shared" si="308"/>
        <v>0</v>
      </c>
      <c r="CK16" s="45">
        <f t="shared" si="309"/>
        <v>0</v>
      </c>
      <c r="CL16" s="45">
        <f t="shared" si="310"/>
        <v>0</v>
      </c>
      <c r="CM16" s="52">
        <v>0</v>
      </c>
      <c r="CN16" s="19">
        <v>0</v>
      </c>
      <c r="CO16" s="47">
        <f t="shared" si="311"/>
        <v>0</v>
      </c>
      <c r="CP16" s="46">
        <f t="shared" si="312"/>
        <v>0</v>
      </c>
      <c r="CQ16" s="46">
        <f t="shared" si="313"/>
        <v>0</v>
      </c>
      <c r="CR16" s="46">
        <f t="shared" si="314"/>
        <v>0</v>
      </c>
      <c r="CS16" s="45">
        <f t="shared" si="315"/>
        <v>0</v>
      </c>
      <c r="CT16" s="45">
        <f t="shared" si="316"/>
        <v>0</v>
      </c>
      <c r="CU16" s="52">
        <v>0</v>
      </c>
      <c r="CV16" s="19">
        <v>0</v>
      </c>
      <c r="CW16" s="47">
        <f t="shared" si="317"/>
        <v>0</v>
      </c>
      <c r="CX16" s="46">
        <f t="shared" si="318"/>
        <v>0</v>
      </c>
      <c r="CY16" s="46">
        <f t="shared" si="319"/>
        <v>0</v>
      </c>
      <c r="CZ16" s="46">
        <f t="shared" si="320"/>
        <v>0</v>
      </c>
      <c r="DA16" s="45">
        <f t="shared" si="321"/>
        <v>0</v>
      </c>
      <c r="DB16" s="45">
        <f t="shared" si="322"/>
        <v>0</v>
      </c>
      <c r="DC16" s="52">
        <v>0</v>
      </c>
      <c r="DD16" s="19">
        <v>0</v>
      </c>
      <c r="DE16" s="47">
        <v>0</v>
      </c>
      <c r="DF16" s="46">
        <f t="shared" si="323"/>
        <v>0</v>
      </c>
      <c r="DG16" s="46">
        <f t="shared" si="324"/>
        <v>0</v>
      </c>
      <c r="DH16" s="46">
        <f t="shared" si="325"/>
        <v>0</v>
      </c>
      <c r="DI16" s="45">
        <f t="shared" si="326"/>
        <v>0</v>
      </c>
      <c r="DJ16" s="45">
        <f t="shared" si="327"/>
        <v>0</v>
      </c>
      <c r="DK16" s="52">
        <v>0</v>
      </c>
      <c r="DL16" s="19">
        <v>0</v>
      </c>
      <c r="DM16" s="47">
        <f t="shared" si="328"/>
        <v>0</v>
      </c>
      <c r="DN16" s="46">
        <f t="shared" si="329"/>
        <v>0</v>
      </c>
      <c r="DO16" s="46">
        <f t="shared" si="330"/>
        <v>0</v>
      </c>
      <c r="DP16" s="46">
        <f t="shared" si="331"/>
        <v>0</v>
      </c>
      <c r="DQ16" s="45">
        <f t="shared" si="332"/>
        <v>0</v>
      </c>
      <c r="DR16" s="45">
        <f t="shared" si="333"/>
        <v>0</v>
      </c>
    </row>
    <row r="17" spans="1:122" ht="18.600000000000001" customHeight="1" x14ac:dyDescent="0.3">
      <c r="A17" s="108"/>
      <c r="B17" s="105"/>
      <c r="C17" s="104" t="s">
        <v>60</v>
      </c>
      <c r="D17" s="113" t="s">
        <v>74</v>
      </c>
      <c r="E17" s="44"/>
      <c r="F17" s="18" t="s">
        <v>14</v>
      </c>
      <c r="G17" s="70">
        <v>1</v>
      </c>
      <c r="H17" s="71">
        <v>1</v>
      </c>
      <c r="I17" s="71">
        <f t="shared" si="0"/>
        <v>0</v>
      </c>
      <c r="J17" s="58">
        <f t="shared" si="201"/>
        <v>0</v>
      </c>
      <c r="K17" s="52">
        <v>0</v>
      </c>
      <c r="L17" s="19">
        <v>0</v>
      </c>
      <c r="M17" s="47">
        <f t="shared" si="202"/>
        <v>0</v>
      </c>
      <c r="N17" s="46">
        <f t="shared" si="203"/>
        <v>0</v>
      </c>
      <c r="O17" s="46">
        <f t="shared" si="204"/>
        <v>0</v>
      </c>
      <c r="P17" s="46">
        <f t="shared" si="205"/>
        <v>0</v>
      </c>
      <c r="Q17" s="45">
        <f t="shared" si="206"/>
        <v>0</v>
      </c>
      <c r="R17" s="45">
        <f t="shared" si="207"/>
        <v>0</v>
      </c>
      <c r="S17" s="52">
        <v>0</v>
      </c>
      <c r="T17" s="19">
        <v>0</v>
      </c>
      <c r="U17" s="47">
        <f t="shared" si="208"/>
        <v>0</v>
      </c>
      <c r="V17" s="46">
        <f t="shared" si="9"/>
        <v>0</v>
      </c>
      <c r="W17" s="46">
        <f t="shared" si="259"/>
        <v>0</v>
      </c>
      <c r="X17" s="46">
        <f t="shared" si="260"/>
        <v>0</v>
      </c>
      <c r="Y17" s="45">
        <f t="shared" si="261"/>
        <v>0</v>
      </c>
      <c r="Z17" s="45">
        <f t="shared" si="262"/>
        <v>0</v>
      </c>
      <c r="AA17" s="52">
        <v>0</v>
      </c>
      <c r="AB17" s="19">
        <v>0</v>
      </c>
      <c r="AC17" s="47">
        <f t="shared" si="263"/>
        <v>0</v>
      </c>
      <c r="AD17" s="46">
        <f t="shared" si="264"/>
        <v>0</v>
      </c>
      <c r="AE17" s="46">
        <f t="shared" si="265"/>
        <v>0</v>
      </c>
      <c r="AF17" s="46">
        <f t="shared" si="266"/>
        <v>0</v>
      </c>
      <c r="AG17" s="45">
        <f t="shared" si="267"/>
        <v>0</v>
      </c>
      <c r="AH17" s="45">
        <f t="shared" si="268"/>
        <v>0</v>
      </c>
      <c r="AI17" s="52">
        <v>0</v>
      </c>
      <c r="AJ17" s="19">
        <v>0</v>
      </c>
      <c r="AK17" s="47">
        <f t="shared" si="269"/>
        <v>0</v>
      </c>
      <c r="AL17" s="46">
        <f t="shared" si="270"/>
        <v>0</v>
      </c>
      <c r="AM17" s="46">
        <f t="shared" si="271"/>
        <v>0</v>
      </c>
      <c r="AN17" s="46">
        <f t="shared" si="272"/>
        <v>0</v>
      </c>
      <c r="AO17" s="45">
        <f t="shared" si="273"/>
        <v>0</v>
      </c>
      <c r="AP17" s="45">
        <f t="shared" si="274"/>
        <v>0</v>
      </c>
      <c r="AQ17" s="52">
        <v>0</v>
      </c>
      <c r="AR17" s="19">
        <v>0</v>
      </c>
      <c r="AS17" s="47">
        <f t="shared" si="275"/>
        <v>0</v>
      </c>
      <c r="AT17" s="46">
        <f t="shared" si="276"/>
        <v>0</v>
      </c>
      <c r="AU17" s="46">
        <f t="shared" si="277"/>
        <v>0</v>
      </c>
      <c r="AV17" s="46">
        <f t="shared" si="278"/>
        <v>0</v>
      </c>
      <c r="AW17" s="45">
        <f t="shared" si="279"/>
        <v>0</v>
      </c>
      <c r="AX17" s="45">
        <f t="shared" si="280"/>
        <v>0</v>
      </c>
      <c r="AY17" s="52">
        <v>0</v>
      </c>
      <c r="AZ17" s="19">
        <v>0</v>
      </c>
      <c r="BA17" s="47">
        <f t="shared" si="281"/>
        <v>0</v>
      </c>
      <c r="BB17" s="46">
        <f t="shared" si="282"/>
        <v>0</v>
      </c>
      <c r="BC17" s="46">
        <f t="shared" si="283"/>
        <v>0</v>
      </c>
      <c r="BD17" s="46">
        <f t="shared" si="284"/>
        <v>0</v>
      </c>
      <c r="BE17" s="45">
        <f t="shared" si="285"/>
        <v>0</v>
      </c>
      <c r="BF17" s="45">
        <f t="shared" si="286"/>
        <v>0</v>
      </c>
      <c r="BG17" s="52">
        <v>0</v>
      </c>
      <c r="BH17" s="19">
        <v>0</v>
      </c>
      <c r="BI17" s="47">
        <f t="shared" si="287"/>
        <v>0</v>
      </c>
      <c r="BJ17" s="46">
        <f t="shared" si="288"/>
        <v>0</v>
      </c>
      <c r="BK17" s="46">
        <f t="shared" si="289"/>
        <v>0</v>
      </c>
      <c r="BL17" s="46">
        <f t="shared" si="290"/>
        <v>0</v>
      </c>
      <c r="BM17" s="45">
        <f t="shared" si="291"/>
        <v>0</v>
      </c>
      <c r="BN17" s="45">
        <f t="shared" si="292"/>
        <v>0</v>
      </c>
      <c r="BO17" s="52">
        <v>0</v>
      </c>
      <c r="BP17" s="19">
        <v>0</v>
      </c>
      <c r="BQ17" s="47">
        <f t="shared" si="293"/>
        <v>0</v>
      </c>
      <c r="BR17" s="46">
        <f t="shared" si="294"/>
        <v>0</v>
      </c>
      <c r="BS17" s="46">
        <f t="shared" si="295"/>
        <v>0</v>
      </c>
      <c r="BT17" s="46">
        <f t="shared" si="296"/>
        <v>0</v>
      </c>
      <c r="BU17" s="45">
        <f t="shared" si="297"/>
        <v>0</v>
      </c>
      <c r="BV17" s="45">
        <f t="shared" si="298"/>
        <v>0</v>
      </c>
      <c r="BW17" s="52">
        <v>0</v>
      </c>
      <c r="BX17" s="19">
        <v>0</v>
      </c>
      <c r="BY17" s="47">
        <f t="shared" si="299"/>
        <v>0</v>
      </c>
      <c r="BZ17" s="46">
        <f t="shared" si="300"/>
        <v>0</v>
      </c>
      <c r="CA17" s="46">
        <f t="shared" si="301"/>
        <v>0</v>
      </c>
      <c r="CB17" s="46">
        <f t="shared" si="302"/>
        <v>0</v>
      </c>
      <c r="CC17" s="45">
        <f t="shared" si="303"/>
        <v>0</v>
      </c>
      <c r="CD17" s="45">
        <f t="shared" si="304"/>
        <v>0</v>
      </c>
      <c r="CE17" s="52">
        <v>0</v>
      </c>
      <c r="CF17" s="19">
        <v>0</v>
      </c>
      <c r="CG17" s="47">
        <f t="shared" si="305"/>
        <v>0</v>
      </c>
      <c r="CH17" s="46">
        <f t="shared" si="306"/>
        <v>0</v>
      </c>
      <c r="CI17" s="46">
        <f t="shared" si="307"/>
        <v>0</v>
      </c>
      <c r="CJ17" s="46">
        <f t="shared" si="308"/>
        <v>0</v>
      </c>
      <c r="CK17" s="45">
        <f t="shared" si="309"/>
        <v>0</v>
      </c>
      <c r="CL17" s="45">
        <f t="shared" si="310"/>
        <v>0</v>
      </c>
      <c r="CM17" s="52">
        <v>0</v>
      </c>
      <c r="CN17" s="19">
        <v>0</v>
      </c>
      <c r="CO17" s="47">
        <f t="shared" si="311"/>
        <v>0</v>
      </c>
      <c r="CP17" s="46">
        <f t="shared" si="312"/>
        <v>0</v>
      </c>
      <c r="CQ17" s="46">
        <f t="shared" si="313"/>
        <v>0</v>
      </c>
      <c r="CR17" s="46">
        <f t="shared" si="314"/>
        <v>0</v>
      </c>
      <c r="CS17" s="45">
        <f t="shared" si="315"/>
        <v>0</v>
      </c>
      <c r="CT17" s="45">
        <f t="shared" si="316"/>
        <v>0</v>
      </c>
      <c r="CU17" s="52">
        <v>0</v>
      </c>
      <c r="CV17" s="19">
        <v>0</v>
      </c>
      <c r="CW17" s="47">
        <f t="shared" si="317"/>
        <v>0</v>
      </c>
      <c r="CX17" s="46">
        <f t="shared" si="318"/>
        <v>0</v>
      </c>
      <c r="CY17" s="46">
        <f t="shared" si="319"/>
        <v>0</v>
      </c>
      <c r="CZ17" s="46">
        <f t="shared" si="320"/>
        <v>0</v>
      </c>
      <c r="DA17" s="45">
        <f t="shared" si="321"/>
        <v>0</v>
      </c>
      <c r="DB17" s="45">
        <f t="shared" si="322"/>
        <v>0</v>
      </c>
      <c r="DC17" s="52">
        <v>0</v>
      </c>
      <c r="DD17" s="19">
        <v>0</v>
      </c>
      <c r="DE17" s="47">
        <v>0</v>
      </c>
      <c r="DF17" s="46">
        <f t="shared" si="323"/>
        <v>0</v>
      </c>
      <c r="DG17" s="46">
        <f t="shared" si="324"/>
        <v>0</v>
      </c>
      <c r="DH17" s="46">
        <f t="shared" si="325"/>
        <v>0</v>
      </c>
      <c r="DI17" s="45">
        <f t="shared" si="326"/>
        <v>0</v>
      </c>
      <c r="DJ17" s="45">
        <f t="shared" si="327"/>
        <v>0</v>
      </c>
      <c r="DK17" s="52">
        <v>0</v>
      </c>
      <c r="DL17" s="19">
        <v>0</v>
      </c>
      <c r="DM17" s="47">
        <f t="shared" si="328"/>
        <v>0</v>
      </c>
      <c r="DN17" s="46">
        <f t="shared" si="329"/>
        <v>0</v>
      </c>
      <c r="DO17" s="46">
        <f t="shared" si="330"/>
        <v>0</v>
      </c>
      <c r="DP17" s="46">
        <f t="shared" si="331"/>
        <v>0</v>
      </c>
      <c r="DQ17" s="45">
        <f t="shared" si="332"/>
        <v>0</v>
      </c>
      <c r="DR17" s="45">
        <f t="shared" si="333"/>
        <v>0</v>
      </c>
    </row>
    <row r="18" spans="1:122" ht="18.600000000000001" customHeight="1" x14ac:dyDescent="0.3">
      <c r="A18" s="108"/>
      <c r="B18" s="105"/>
      <c r="C18" s="105"/>
      <c r="D18" s="111"/>
      <c r="E18" s="44"/>
      <c r="F18" s="18" t="s">
        <v>16</v>
      </c>
      <c r="G18" s="70">
        <v>1</v>
      </c>
      <c r="H18" s="71">
        <v>1</v>
      </c>
      <c r="I18" s="71">
        <f t="shared" si="0"/>
        <v>0</v>
      </c>
      <c r="J18" s="58">
        <f t="shared" si="201"/>
        <v>0</v>
      </c>
      <c r="K18" s="52">
        <v>0</v>
      </c>
      <c r="L18" s="19">
        <v>0</v>
      </c>
      <c r="M18" s="47">
        <f t="shared" si="202"/>
        <v>0</v>
      </c>
      <c r="N18" s="46">
        <f t="shared" si="203"/>
        <v>0</v>
      </c>
      <c r="O18" s="46">
        <f t="shared" si="204"/>
        <v>0</v>
      </c>
      <c r="P18" s="46">
        <f t="shared" si="205"/>
        <v>0</v>
      </c>
      <c r="Q18" s="45">
        <f t="shared" si="206"/>
        <v>0</v>
      </c>
      <c r="R18" s="45">
        <f t="shared" si="207"/>
        <v>0</v>
      </c>
      <c r="S18" s="52">
        <v>0</v>
      </c>
      <c r="T18" s="19">
        <v>0</v>
      </c>
      <c r="U18" s="47">
        <f t="shared" si="208"/>
        <v>0</v>
      </c>
      <c r="V18" s="46">
        <f t="shared" si="9"/>
        <v>0</v>
      </c>
      <c r="W18" s="46">
        <f t="shared" si="259"/>
        <v>0</v>
      </c>
      <c r="X18" s="46">
        <f t="shared" si="260"/>
        <v>0</v>
      </c>
      <c r="Y18" s="45">
        <f t="shared" si="261"/>
        <v>0</v>
      </c>
      <c r="Z18" s="45">
        <f t="shared" si="262"/>
        <v>0</v>
      </c>
      <c r="AA18" s="52">
        <v>0</v>
      </c>
      <c r="AB18" s="19">
        <v>0</v>
      </c>
      <c r="AC18" s="47">
        <f t="shared" si="263"/>
        <v>0</v>
      </c>
      <c r="AD18" s="46">
        <f t="shared" si="264"/>
        <v>0</v>
      </c>
      <c r="AE18" s="46">
        <f t="shared" si="265"/>
        <v>0</v>
      </c>
      <c r="AF18" s="46">
        <f t="shared" si="266"/>
        <v>0</v>
      </c>
      <c r="AG18" s="45">
        <f t="shared" si="267"/>
        <v>0</v>
      </c>
      <c r="AH18" s="45">
        <f t="shared" si="268"/>
        <v>0</v>
      </c>
      <c r="AI18" s="52">
        <v>0</v>
      </c>
      <c r="AJ18" s="19">
        <v>0</v>
      </c>
      <c r="AK18" s="47">
        <f t="shared" si="269"/>
        <v>0</v>
      </c>
      <c r="AL18" s="46">
        <f t="shared" si="270"/>
        <v>0</v>
      </c>
      <c r="AM18" s="46">
        <f t="shared" si="271"/>
        <v>0</v>
      </c>
      <c r="AN18" s="46">
        <f t="shared" si="272"/>
        <v>0</v>
      </c>
      <c r="AO18" s="45">
        <f t="shared" si="273"/>
        <v>0</v>
      </c>
      <c r="AP18" s="45">
        <f t="shared" si="274"/>
        <v>0</v>
      </c>
      <c r="AQ18" s="52">
        <v>0</v>
      </c>
      <c r="AR18" s="19">
        <v>0</v>
      </c>
      <c r="AS18" s="47">
        <f t="shared" si="275"/>
        <v>0</v>
      </c>
      <c r="AT18" s="46">
        <f t="shared" si="276"/>
        <v>0</v>
      </c>
      <c r="AU18" s="46">
        <f t="shared" si="277"/>
        <v>0</v>
      </c>
      <c r="AV18" s="46">
        <f t="shared" si="278"/>
        <v>0</v>
      </c>
      <c r="AW18" s="45">
        <f t="shared" si="279"/>
        <v>0</v>
      </c>
      <c r="AX18" s="45">
        <f t="shared" si="280"/>
        <v>0</v>
      </c>
      <c r="AY18" s="52">
        <v>0</v>
      </c>
      <c r="AZ18" s="19">
        <v>0</v>
      </c>
      <c r="BA18" s="47">
        <f t="shared" si="281"/>
        <v>0</v>
      </c>
      <c r="BB18" s="46">
        <f t="shared" si="282"/>
        <v>0</v>
      </c>
      <c r="BC18" s="46">
        <f t="shared" si="283"/>
        <v>0</v>
      </c>
      <c r="BD18" s="46">
        <f t="shared" si="284"/>
        <v>0</v>
      </c>
      <c r="BE18" s="45">
        <f t="shared" si="285"/>
        <v>0</v>
      </c>
      <c r="BF18" s="45">
        <f t="shared" si="286"/>
        <v>0</v>
      </c>
      <c r="BG18" s="52">
        <v>0</v>
      </c>
      <c r="BH18" s="19">
        <v>0</v>
      </c>
      <c r="BI18" s="47">
        <f t="shared" si="287"/>
        <v>0</v>
      </c>
      <c r="BJ18" s="46">
        <f t="shared" si="288"/>
        <v>0</v>
      </c>
      <c r="BK18" s="46">
        <f t="shared" si="289"/>
        <v>0</v>
      </c>
      <c r="BL18" s="46">
        <f t="shared" si="290"/>
        <v>0</v>
      </c>
      <c r="BM18" s="45">
        <f t="shared" si="291"/>
        <v>0</v>
      </c>
      <c r="BN18" s="45">
        <f t="shared" si="292"/>
        <v>0</v>
      </c>
      <c r="BO18" s="52">
        <v>0</v>
      </c>
      <c r="BP18" s="19">
        <v>0</v>
      </c>
      <c r="BQ18" s="47">
        <f t="shared" si="293"/>
        <v>0</v>
      </c>
      <c r="BR18" s="46">
        <f t="shared" si="294"/>
        <v>0</v>
      </c>
      <c r="BS18" s="46">
        <f t="shared" si="295"/>
        <v>0</v>
      </c>
      <c r="BT18" s="46">
        <f t="shared" si="296"/>
        <v>0</v>
      </c>
      <c r="BU18" s="45">
        <f t="shared" si="297"/>
        <v>0</v>
      </c>
      <c r="BV18" s="45">
        <f t="shared" si="298"/>
        <v>0</v>
      </c>
      <c r="BW18" s="52">
        <v>0</v>
      </c>
      <c r="BX18" s="19">
        <v>0</v>
      </c>
      <c r="BY18" s="47">
        <f t="shared" si="299"/>
        <v>0</v>
      </c>
      <c r="BZ18" s="46">
        <f t="shared" si="300"/>
        <v>0</v>
      </c>
      <c r="CA18" s="46">
        <f t="shared" si="301"/>
        <v>0</v>
      </c>
      <c r="CB18" s="46">
        <f t="shared" si="302"/>
        <v>0</v>
      </c>
      <c r="CC18" s="45">
        <f t="shared" si="303"/>
        <v>0</v>
      </c>
      <c r="CD18" s="45">
        <f t="shared" si="304"/>
        <v>0</v>
      </c>
      <c r="CE18" s="52">
        <v>0</v>
      </c>
      <c r="CF18" s="19">
        <v>0</v>
      </c>
      <c r="CG18" s="47">
        <f t="shared" si="305"/>
        <v>0</v>
      </c>
      <c r="CH18" s="46">
        <f t="shared" si="306"/>
        <v>0</v>
      </c>
      <c r="CI18" s="46">
        <f t="shared" si="307"/>
        <v>0</v>
      </c>
      <c r="CJ18" s="46">
        <f t="shared" si="308"/>
        <v>0</v>
      </c>
      <c r="CK18" s="45">
        <f t="shared" si="309"/>
        <v>0</v>
      </c>
      <c r="CL18" s="45">
        <f t="shared" si="310"/>
        <v>0</v>
      </c>
      <c r="CM18" s="52">
        <v>0</v>
      </c>
      <c r="CN18" s="19">
        <v>0</v>
      </c>
      <c r="CO18" s="47">
        <f t="shared" si="311"/>
        <v>0</v>
      </c>
      <c r="CP18" s="46">
        <f t="shared" si="312"/>
        <v>0</v>
      </c>
      <c r="CQ18" s="46">
        <f t="shared" si="313"/>
        <v>0</v>
      </c>
      <c r="CR18" s="46">
        <f t="shared" si="314"/>
        <v>0</v>
      </c>
      <c r="CS18" s="45">
        <f t="shared" si="315"/>
        <v>0</v>
      </c>
      <c r="CT18" s="45">
        <f t="shared" si="316"/>
        <v>0</v>
      </c>
      <c r="CU18" s="52">
        <v>0</v>
      </c>
      <c r="CV18" s="19">
        <v>0</v>
      </c>
      <c r="CW18" s="47">
        <f t="shared" si="317"/>
        <v>0</v>
      </c>
      <c r="CX18" s="46">
        <f t="shared" si="318"/>
        <v>0</v>
      </c>
      <c r="CY18" s="46">
        <f t="shared" si="319"/>
        <v>0</v>
      </c>
      <c r="CZ18" s="46">
        <f t="shared" si="320"/>
        <v>0</v>
      </c>
      <c r="DA18" s="45">
        <f t="shared" si="321"/>
        <v>0</v>
      </c>
      <c r="DB18" s="45">
        <f t="shared" si="322"/>
        <v>0</v>
      </c>
      <c r="DC18" s="52">
        <v>0</v>
      </c>
      <c r="DD18" s="19">
        <v>0</v>
      </c>
      <c r="DE18" s="47">
        <v>0</v>
      </c>
      <c r="DF18" s="46">
        <f t="shared" si="323"/>
        <v>0</v>
      </c>
      <c r="DG18" s="46">
        <f t="shared" si="324"/>
        <v>0</v>
      </c>
      <c r="DH18" s="46">
        <f t="shared" si="325"/>
        <v>0</v>
      </c>
      <c r="DI18" s="45">
        <f t="shared" si="326"/>
        <v>0</v>
      </c>
      <c r="DJ18" s="45">
        <f t="shared" si="327"/>
        <v>0</v>
      </c>
      <c r="DK18" s="52">
        <v>0</v>
      </c>
      <c r="DL18" s="19">
        <v>0</v>
      </c>
      <c r="DM18" s="47">
        <f t="shared" si="328"/>
        <v>0</v>
      </c>
      <c r="DN18" s="46">
        <f t="shared" si="329"/>
        <v>0</v>
      </c>
      <c r="DO18" s="46">
        <f t="shared" si="330"/>
        <v>0</v>
      </c>
      <c r="DP18" s="46">
        <f t="shared" si="331"/>
        <v>0</v>
      </c>
      <c r="DQ18" s="45">
        <f t="shared" si="332"/>
        <v>0</v>
      </c>
      <c r="DR18" s="45">
        <f t="shared" si="333"/>
        <v>0</v>
      </c>
    </row>
    <row r="19" spans="1:122" ht="18.600000000000001" customHeight="1" x14ac:dyDescent="0.3">
      <c r="A19" s="108"/>
      <c r="B19" s="105"/>
      <c r="C19" s="106"/>
      <c r="D19" s="112"/>
      <c r="E19" s="44"/>
      <c r="F19" s="18" t="s">
        <v>15</v>
      </c>
      <c r="G19" s="70">
        <v>1</v>
      </c>
      <c r="H19" s="71">
        <v>1</v>
      </c>
      <c r="I19" s="71">
        <f t="shared" si="0"/>
        <v>0</v>
      </c>
      <c r="J19" s="58">
        <f t="shared" si="201"/>
        <v>0</v>
      </c>
      <c r="K19" s="52">
        <v>0</v>
      </c>
      <c r="L19" s="19">
        <v>0</v>
      </c>
      <c r="M19" s="47">
        <f t="shared" si="202"/>
        <v>0</v>
      </c>
      <c r="N19" s="46">
        <f t="shared" si="203"/>
        <v>0</v>
      </c>
      <c r="O19" s="46">
        <f t="shared" si="204"/>
        <v>0</v>
      </c>
      <c r="P19" s="46">
        <f t="shared" si="205"/>
        <v>0</v>
      </c>
      <c r="Q19" s="45">
        <f t="shared" si="206"/>
        <v>0</v>
      </c>
      <c r="R19" s="45">
        <f t="shared" si="207"/>
        <v>0</v>
      </c>
      <c r="S19" s="52">
        <v>0</v>
      </c>
      <c r="T19" s="19">
        <v>0</v>
      </c>
      <c r="U19" s="47">
        <f t="shared" si="208"/>
        <v>0</v>
      </c>
      <c r="V19" s="46">
        <f t="shared" si="9"/>
        <v>0</v>
      </c>
      <c r="W19" s="46">
        <f t="shared" si="259"/>
        <v>0</v>
      </c>
      <c r="X19" s="46">
        <f t="shared" si="260"/>
        <v>0</v>
      </c>
      <c r="Y19" s="45">
        <f t="shared" si="261"/>
        <v>0</v>
      </c>
      <c r="Z19" s="45">
        <f t="shared" si="262"/>
        <v>0</v>
      </c>
      <c r="AA19" s="52">
        <v>0</v>
      </c>
      <c r="AB19" s="19">
        <v>0</v>
      </c>
      <c r="AC19" s="47">
        <f t="shared" si="263"/>
        <v>0</v>
      </c>
      <c r="AD19" s="46">
        <f t="shared" si="264"/>
        <v>0</v>
      </c>
      <c r="AE19" s="46">
        <f t="shared" si="265"/>
        <v>0</v>
      </c>
      <c r="AF19" s="46">
        <f t="shared" si="266"/>
        <v>0</v>
      </c>
      <c r="AG19" s="45">
        <f t="shared" si="267"/>
        <v>0</v>
      </c>
      <c r="AH19" s="45">
        <f t="shared" si="268"/>
        <v>0</v>
      </c>
      <c r="AI19" s="52">
        <v>0</v>
      </c>
      <c r="AJ19" s="19">
        <v>0</v>
      </c>
      <c r="AK19" s="47">
        <f t="shared" si="269"/>
        <v>0</v>
      </c>
      <c r="AL19" s="46">
        <f t="shared" si="270"/>
        <v>0</v>
      </c>
      <c r="AM19" s="46">
        <f t="shared" si="271"/>
        <v>0</v>
      </c>
      <c r="AN19" s="46">
        <f t="shared" si="272"/>
        <v>0</v>
      </c>
      <c r="AO19" s="45">
        <f t="shared" si="273"/>
        <v>0</v>
      </c>
      <c r="AP19" s="45">
        <f t="shared" si="274"/>
        <v>0</v>
      </c>
      <c r="AQ19" s="52">
        <v>0</v>
      </c>
      <c r="AR19" s="19">
        <v>0</v>
      </c>
      <c r="AS19" s="47">
        <f t="shared" si="275"/>
        <v>0</v>
      </c>
      <c r="AT19" s="46">
        <f t="shared" si="276"/>
        <v>0</v>
      </c>
      <c r="AU19" s="46">
        <f t="shared" si="277"/>
        <v>0</v>
      </c>
      <c r="AV19" s="46">
        <f t="shared" si="278"/>
        <v>0</v>
      </c>
      <c r="AW19" s="45">
        <f t="shared" si="279"/>
        <v>0</v>
      </c>
      <c r="AX19" s="45">
        <f t="shared" si="280"/>
        <v>0</v>
      </c>
      <c r="AY19" s="52">
        <v>0</v>
      </c>
      <c r="AZ19" s="19">
        <v>0</v>
      </c>
      <c r="BA19" s="47">
        <f t="shared" si="281"/>
        <v>0</v>
      </c>
      <c r="BB19" s="46">
        <f t="shared" si="282"/>
        <v>0</v>
      </c>
      <c r="BC19" s="46">
        <f t="shared" si="283"/>
        <v>0</v>
      </c>
      <c r="BD19" s="46">
        <f t="shared" si="284"/>
        <v>0</v>
      </c>
      <c r="BE19" s="45">
        <f t="shared" si="285"/>
        <v>0</v>
      </c>
      <c r="BF19" s="45">
        <f t="shared" si="286"/>
        <v>0</v>
      </c>
      <c r="BG19" s="52">
        <v>0</v>
      </c>
      <c r="BH19" s="19">
        <v>0</v>
      </c>
      <c r="BI19" s="47">
        <f t="shared" si="287"/>
        <v>0</v>
      </c>
      <c r="BJ19" s="46">
        <f t="shared" si="288"/>
        <v>0</v>
      </c>
      <c r="BK19" s="46">
        <f t="shared" si="289"/>
        <v>0</v>
      </c>
      <c r="BL19" s="46">
        <f t="shared" si="290"/>
        <v>0</v>
      </c>
      <c r="BM19" s="45">
        <f t="shared" si="291"/>
        <v>0</v>
      </c>
      <c r="BN19" s="45">
        <f t="shared" si="292"/>
        <v>0</v>
      </c>
      <c r="BO19" s="52">
        <v>0</v>
      </c>
      <c r="BP19" s="19">
        <v>0</v>
      </c>
      <c r="BQ19" s="47">
        <f t="shared" si="293"/>
        <v>0</v>
      </c>
      <c r="BR19" s="46">
        <f t="shared" si="294"/>
        <v>0</v>
      </c>
      <c r="BS19" s="46">
        <f t="shared" si="295"/>
        <v>0</v>
      </c>
      <c r="BT19" s="46">
        <f t="shared" si="296"/>
        <v>0</v>
      </c>
      <c r="BU19" s="45">
        <f t="shared" si="297"/>
        <v>0</v>
      </c>
      <c r="BV19" s="45">
        <f t="shared" si="298"/>
        <v>0</v>
      </c>
      <c r="BW19" s="52">
        <v>0</v>
      </c>
      <c r="BX19" s="19">
        <v>0</v>
      </c>
      <c r="BY19" s="47">
        <f t="shared" si="299"/>
        <v>0</v>
      </c>
      <c r="BZ19" s="46">
        <f t="shared" si="300"/>
        <v>0</v>
      </c>
      <c r="CA19" s="46">
        <f t="shared" si="301"/>
        <v>0</v>
      </c>
      <c r="CB19" s="46">
        <f t="shared" si="302"/>
        <v>0</v>
      </c>
      <c r="CC19" s="45">
        <f t="shared" si="303"/>
        <v>0</v>
      </c>
      <c r="CD19" s="45">
        <f t="shared" si="304"/>
        <v>0</v>
      </c>
      <c r="CE19" s="52">
        <v>0</v>
      </c>
      <c r="CF19" s="19">
        <v>0</v>
      </c>
      <c r="CG19" s="47">
        <f t="shared" si="305"/>
        <v>0</v>
      </c>
      <c r="CH19" s="46">
        <f t="shared" si="306"/>
        <v>0</v>
      </c>
      <c r="CI19" s="46">
        <f t="shared" si="307"/>
        <v>0</v>
      </c>
      <c r="CJ19" s="46">
        <f t="shared" si="308"/>
        <v>0</v>
      </c>
      <c r="CK19" s="45">
        <f t="shared" si="309"/>
        <v>0</v>
      </c>
      <c r="CL19" s="45">
        <f t="shared" si="310"/>
        <v>0</v>
      </c>
      <c r="CM19" s="52">
        <v>0</v>
      </c>
      <c r="CN19" s="19">
        <v>0</v>
      </c>
      <c r="CO19" s="47">
        <f t="shared" si="311"/>
        <v>0</v>
      </c>
      <c r="CP19" s="46">
        <f t="shared" si="312"/>
        <v>0</v>
      </c>
      <c r="CQ19" s="46">
        <f t="shared" si="313"/>
        <v>0</v>
      </c>
      <c r="CR19" s="46">
        <f t="shared" si="314"/>
        <v>0</v>
      </c>
      <c r="CS19" s="45">
        <f t="shared" si="315"/>
        <v>0</v>
      </c>
      <c r="CT19" s="45">
        <f t="shared" si="316"/>
        <v>0</v>
      </c>
      <c r="CU19" s="52">
        <v>0</v>
      </c>
      <c r="CV19" s="19">
        <v>0</v>
      </c>
      <c r="CW19" s="47">
        <f t="shared" si="317"/>
        <v>0</v>
      </c>
      <c r="CX19" s="46">
        <f t="shared" si="318"/>
        <v>0</v>
      </c>
      <c r="CY19" s="46">
        <f t="shared" si="319"/>
        <v>0</v>
      </c>
      <c r="CZ19" s="46">
        <f t="shared" si="320"/>
        <v>0</v>
      </c>
      <c r="DA19" s="45">
        <f t="shared" si="321"/>
        <v>0</v>
      </c>
      <c r="DB19" s="45">
        <f t="shared" si="322"/>
        <v>0</v>
      </c>
      <c r="DC19" s="52">
        <v>0</v>
      </c>
      <c r="DD19" s="19">
        <v>0</v>
      </c>
      <c r="DE19" s="47">
        <v>0</v>
      </c>
      <c r="DF19" s="46">
        <f t="shared" si="323"/>
        <v>0</v>
      </c>
      <c r="DG19" s="46">
        <f t="shared" si="324"/>
        <v>0</v>
      </c>
      <c r="DH19" s="46">
        <f t="shared" si="325"/>
        <v>0</v>
      </c>
      <c r="DI19" s="45">
        <f t="shared" si="326"/>
        <v>0</v>
      </c>
      <c r="DJ19" s="45">
        <f t="shared" si="327"/>
        <v>0</v>
      </c>
      <c r="DK19" s="52">
        <v>0</v>
      </c>
      <c r="DL19" s="19">
        <v>0</v>
      </c>
      <c r="DM19" s="47">
        <f t="shared" si="328"/>
        <v>0</v>
      </c>
      <c r="DN19" s="46">
        <f t="shared" si="329"/>
        <v>0</v>
      </c>
      <c r="DO19" s="46">
        <f t="shared" si="330"/>
        <v>0</v>
      </c>
      <c r="DP19" s="46">
        <f t="shared" si="331"/>
        <v>0</v>
      </c>
      <c r="DQ19" s="45">
        <f t="shared" si="332"/>
        <v>0</v>
      </c>
      <c r="DR19" s="45">
        <f t="shared" si="333"/>
        <v>0</v>
      </c>
    </row>
    <row r="20" spans="1:122" ht="18.600000000000001" customHeight="1" x14ac:dyDescent="0.3">
      <c r="A20" s="108"/>
      <c r="B20" s="105"/>
      <c r="C20" s="104" t="s">
        <v>61</v>
      </c>
      <c r="D20" s="113" t="s">
        <v>75</v>
      </c>
      <c r="E20" s="44"/>
      <c r="F20" s="18" t="s">
        <v>14</v>
      </c>
      <c r="G20" s="70">
        <v>1</v>
      </c>
      <c r="H20" s="71">
        <v>1</v>
      </c>
      <c r="I20" s="71">
        <f t="shared" si="0"/>
        <v>0</v>
      </c>
      <c r="J20" s="58">
        <f t="shared" si="201"/>
        <v>0</v>
      </c>
      <c r="K20" s="52">
        <v>0</v>
      </c>
      <c r="L20" s="19">
        <v>0</v>
      </c>
      <c r="M20" s="47">
        <f t="shared" si="202"/>
        <v>0</v>
      </c>
      <c r="N20" s="46">
        <f t="shared" si="203"/>
        <v>0</v>
      </c>
      <c r="O20" s="46">
        <f t="shared" si="204"/>
        <v>0</v>
      </c>
      <c r="P20" s="46">
        <f t="shared" si="205"/>
        <v>0</v>
      </c>
      <c r="Q20" s="45">
        <f t="shared" si="206"/>
        <v>0</v>
      </c>
      <c r="R20" s="45">
        <f t="shared" si="207"/>
        <v>0</v>
      </c>
      <c r="S20" s="52">
        <v>0</v>
      </c>
      <c r="T20" s="19">
        <v>0</v>
      </c>
      <c r="U20" s="47">
        <f t="shared" si="208"/>
        <v>0</v>
      </c>
      <c r="V20" s="46">
        <f t="shared" si="9"/>
        <v>0</v>
      </c>
      <c r="W20" s="46">
        <f t="shared" si="259"/>
        <v>0</v>
      </c>
      <c r="X20" s="46">
        <f t="shared" si="260"/>
        <v>0</v>
      </c>
      <c r="Y20" s="45">
        <f t="shared" si="261"/>
        <v>0</v>
      </c>
      <c r="Z20" s="45">
        <f t="shared" si="262"/>
        <v>0</v>
      </c>
      <c r="AA20" s="52">
        <v>0</v>
      </c>
      <c r="AB20" s="19">
        <v>0</v>
      </c>
      <c r="AC20" s="47">
        <f t="shared" si="263"/>
        <v>0</v>
      </c>
      <c r="AD20" s="46">
        <f t="shared" si="264"/>
        <v>0</v>
      </c>
      <c r="AE20" s="46">
        <f t="shared" si="265"/>
        <v>0</v>
      </c>
      <c r="AF20" s="46">
        <f t="shared" si="266"/>
        <v>0</v>
      </c>
      <c r="AG20" s="45">
        <f t="shared" si="267"/>
        <v>0</v>
      </c>
      <c r="AH20" s="45">
        <f t="shared" si="268"/>
        <v>0</v>
      </c>
      <c r="AI20" s="52">
        <v>0</v>
      </c>
      <c r="AJ20" s="19">
        <v>0</v>
      </c>
      <c r="AK20" s="47">
        <f t="shared" si="269"/>
        <v>0</v>
      </c>
      <c r="AL20" s="46">
        <f t="shared" si="270"/>
        <v>0</v>
      </c>
      <c r="AM20" s="46">
        <f t="shared" si="271"/>
        <v>0</v>
      </c>
      <c r="AN20" s="46">
        <f t="shared" si="272"/>
        <v>0</v>
      </c>
      <c r="AO20" s="45">
        <f t="shared" si="273"/>
        <v>0</v>
      </c>
      <c r="AP20" s="45">
        <f t="shared" si="274"/>
        <v>0</v>
      </c>
      <c r="AQ20" s="52">
        <v>0</v>
      </c>
      <c r="AR20" s="19">
        <v>0</v>
      </c>
      <c r="AS20" s="47">
        <f t="shared" si="275"/>
        <v>0</v>
      </c>
      <c r="AT20" s="46">
        <f t="shared" si="276"/>
        <v>0</v>
      </c>
      <c r="AU20" s="46">
        <f t="shared" si="277"/>
        <v>0</v>
      </c>
      <c r="AV20" s="46">
        <f t="shared" si="278"/>
        <v>0</v>
      </c>
      <c r="AW20" s="45">
        <f t="shared" si="279"/>
        <v>0</v>
      </c>
      <c r="AX20" s="45">
        <f t="shared" si="280"/>
        <v>0</v>
      </c>
      <c r="AY20" s="52">
        <v>0</v>
      </c>
      <c r="AZ20" s="19">
        <v>0</v>
      </c>
      <c r="BA20" s="47">
        <f t="shared" si="281"/>
        <v>0</v>
      </c>
      <c r="BB20" s="46">
        <f t="shared" si="282"/>
        <v>0</v>
      </c>
      <c r="BC20" s="46">
        <f t="shared" si="283"/>
        <v>0</v>
      </c>
      <c r="BD20" s="46">
        <f t="shared" si="284"/>
        <v>0</v>
      </c>
      <c r="BE20" s="45">
        <f t="shared" si="285"/>
        <v>0</v>
      </c>
      <c r="BF20" s="45">
        <f t="shared" si="286"/>
        <v>0</v>
      </c>
      <c r="BG20" s="52">
        <v>0</v>
      </c>
      <c r="BH20" s="19">
        <v>0</v>
      </c>
      <c r="BI20" s="47">
        <f t="shared" si="287"/>
        <v>0</v>
      </c>
      <c r="BJ20" s="46">
        <f t="shared" si="288"/>
        <v>0</v>
      </c>
      <c r="BK20" s="46">
        <f t="shared" si="289"/>
        <v>0</v>
      </c>
      <c r="BL20" s="46">
        <f t="shared" si="290"/>
        <v>0</v>
      </c>
      <c r="BM20" s="45">
        <f t="shared" si="291"/>
        <v>0</v>
      </c>
      <c r="BN20" s="45">
        <f t="shared" si="292"/>
        <v>0</v>
      </c>
      <c r="BO20" s="52">
        <v>0</v>
      </c>
      <c r="BP20" s="19">
        <v>0</v>
      </c>
      <c r="BQ20" s="47">
        <f t="shared" si="293"/>
        <v>0</v>
      </c>
      <c r="BR20" s="46">
        <f t="shared" si="294"/>
        <v>0</v>
      </c>
      <c r="BS20" s="46">
        <f t="shared" si="295"/>
        <v>0</v>
      </c>
      <c r="BT20" s="46">
        <f t="shared" si="296"/>
        <v>0</v>
      </c>
      <c r="BU20" s="45">
        <f t="shared" si="297"/>
        <v>0</v>
      </c>
      <c r="BV20" s="45">
        <f t="shared" si="298"/>
        <v>0</v>
      </c>
      <c r="BW20" s="52">
        <v>0</v>
      </c>
      <c r="BX20" s="19">
        <v>0</v>
      </c>
      <c r="BY20" s="47">
        <f t="shared" si="299"/>
        <v>0</v>
      </c>
      <c r="BZ20" s="46">
        <f t="shared" si="300"/>
        <v>0</v>
      </c>
      <c r="CA20" s="46">
        <f t="shared" si="301"/>
        <v>0</v>
      </c>
      <c r="CB20" s="46">
        <f t="shared" si="302"/>
        <v>0</v>
      </c>
      <c r="CC20" s="45">
        <f t="shared" si="303"/>
        <v>0</v>
      </c>
      <c r="CD20" s="45">
        <f t="shared" si="304"/>
        <v>0</v>
      </c>
      <c r="CE20" s="52">
        <v>0</v>
      </c>
      <c r="CF20" s="19">
        <v>0</v>
      </c>
      <c r="CG20" s="47">
        <f t="shared" si="305"/>
        <v>0</v>
      </c>
      <c r="CH20" s="46">
        <f t="shared" si="306"/>
        <v>0</v>
      </c>
      <c r="CI20" s="46">
        <f t="shared" si="307"/>
        <v>0</v>
      </c>
      <c r="CJ20" s="46">
        <f t="shared" si="308"/>
        <v>0</v>
      </c>
      <c r="CK20" s="45">
        <f t="shared" si="309"/>
        <v>0</v>
      </c>
      <c r="CL20" s="45">
        <f t="shared" si="310"/>
        <v>0</v>
      </c>
      <c r="CM20" s="52">
        <v>0</v>
      </c>
      <c r="CN20" s="19">
        <v>0</v>
      </c>
      <c r="CO20" s="47">
        <f t="shared" si="311"/>
        <v>0</v>
      </c>
      <c r="CP20" s="46">
        <f t="shared" si="312"/>
        <v>0</v>
      </c>
      <c r="CQ20" s="46">
        <f t="shared" si="313"/>
        <v>0</v>
      </c>
      <c r="CR20" s="46">
        <f t="shared" si="314"/>
        <v>0</v>
      </c>
      <c r="CS20" s="45">
        <f t="shared" si="315"/>
        <v>0</v>
      </c>
      <c r="CT20" s="45">
        <f t="shared" si="316"/>
        <v>0</v>
      </c>
      <c r="CU20" s="52">
        <v>0</v>
      </c>
      <c r="CV20" s="19">
        <v>0</v>
      </c>
      <c r="CW20" s="47">
        <f t="shared" si="317"/>
        <v>0</v>
      </c>
      <c r="CX20" s="46">
        <f t="shared" si="318"/>
        <v>0</v>
      </c>
      <c r="CY20" s="46">
        <f t="shared" si="319"/>
        <v>0</v>
      </c>
      <c r="CZ20" s="46">
        <f t="shared" si="320"/>
        <v>0</v>
      </c>
      <c r="DA20" s="45">
        <f t="shared" si="321"/>
        <v>0</v>
      </c>
      <c r="DB20" s="45">
        <f t="shared" si="322"/>
        <v>0</v>
      </c>
      <c r="DC20" s="52">
        <v>0</v>
      </c>
      <c r="DD20" s="19">
        <v>0</v>
      </c>
      <c r="DE20" s="47">
        <v>0</v>
      </c>
      <c r="DF20" s="46">
        <f t="shared" si="323"/>
        <v>0</v>
      </c>
      <c r="DG20" s="46">
        <f t="shared" si="324"/>
        <v>0</v>
      </c>
      <c r="DH20" s="46">
        <f t="shared" si="325"/>
        <v>0</v>
      </c>
      <c r="DI20" s="45">
        <f t="shared" si="326"/>
        <v>0</v>
      </c>
      <c r="DJ20" s="45">
        <f t="shared" si="327"/>
        <v>0</v>
      </c>
      <c r="DK20" s="52">
        <v>0</v>
      </c>
      <c r="DL20" s="19">
        <v>0</v>
      </c>
      <c r="DM20" s="47">
        <f t="shared" si="328"/>
        <v>0</v>
      </c>
      <c r="DN20" s="46">
        <f t="shared" si="329"/>
        <v>0</v>
      </c>
      <c r="DO20" s="46">
        <f t="shared" si="330"/>
        <v>0</v>
      </c>
      <c r="DP20" s="46">
        <f t="shared" si="331"/>
        <v>0</v>
      </c>
      <c r="DQ20" s="45">
        <f t="shared" si="332"/>
        <v>0</v>
      </c>
      <c r="DR20" s="45">
        <f t="shared" si="333"/>
        <v>0</v>
      </c>
    </row>
    <row r="21" spans="1:122" ht="18.600000000000001" customHeight="1" x14ac:dyDescent="0.3">
      <c r="A21" s="108"/>
      <c r="B21" s="105"/>
      <c r="C21" s="105"/>
      <c r="D21" s="111"/>
      <c r="E21" s="44"/>
      <c r="F21" s="18" t="s">
        <v>16</v>
      </c>
      <c r="G21" s="70">
        <v>1</v>
      </c>
      <c r="H21" s="71">
        <v>1</v>
      </c>
      <c r="I21" s="71">
        <f t="shared" si="0"/>
        <v>0</v>
      </c>
      <c r="J21" s="58">
        <f t="shared" si="201"/>
        <v>0</v>
      </c>
      <c r="K21" s="52">
        <v>0</v>
      </c>
      <c r="L21" s="19">
        <v>0</v>
      </c>
      <c r="M21" s="47">
        <f t="shared" si="202"/>
        <v>0</v>
      </c>
      <c r="N21" s="46">
        <f t="shared" si="203"/>
        <v>0</v>
      </c>
      <c r="O21" s="46">
        <f t="shared" si="204"/>
        <v>0</v>
      </c>
      <c r="P21" s="46">
        <f t="shared" si="205"/>
        <v>0</v>
      </c>
      <c r="Q21" s="45">
        <f t="shared" si="206"/>
        <v>0</v>
      </c>
      <c r="R21" s="45">
        <f t="shared" si="207"/>
        <v>0</v>
      </c>
      <c r="S21" s="52">
        <v>0</v>
      </c>
      <c r="T21" s="19">
        <v>0</v>
      </c>
      <c r="U21" s="47">
        <f t="shared" si="208"/>
        <v>0</v>
      </c>
      <c r="V21" s="46">
        <f t="shared" si="9"/>
        <v>0</v>
      </c>
      <c r="W21" s="46">
        <f t="shared" si="259"/>
        <v>0</v>
      </c>
      <c r="X21" s="46">
        <f t="shared" si="260"/>
        <v>0</v>
      </c>
      <c r="Y21" s="45">
        <f t="shared" si="261"/>
        <v>0</v>
      </c>
      <c r="Z21" s="45">
        <f t="shared" si="262"/>
        <v>0</v>
      </c>
      <c r="AA21" s="52">
        <v>0</v>
      </c>
      <c r="AB21" s="19">
        <v>0</v>
      </c>
      <c r="AC21" s="47">
        <f t="shared" si="263"/>
        <v>0</v>
      </c>
      <c r="AD21" s="46">
        <f t="shared" si="264"/>
        <v>0</v>
      </c>
      <c r="AE21" s="46">
        <f t="shared" si="265"/>
        <v>0</v>
      </c>
      <c r="AF21" s="46">
        <f t="shared" si="266"/>
        <v>0</v>
      </c>
      <c r="AG21" s="45">
        <f t="shared" si="267"/>
        <v>0</v>
      </c>
      <c r="AH21" s="45">
        <f t="shared" si="268"/>
        <v>0</v>
      </c>
      <c r="AI21" s="52">
        <v>0</v>
      </c>
      <c r="AJ21" s="19">
        <v>0</v>
      </c>
      <c r="AK21" s="47">
        <f t="shared" si="269"/>
        <v>0</v>
      </c>
      <c r="AL21" s="46">
        <f t="shared" si="270"/>
        <v>0</v>
      </c>
      <c r="AM21" s="46">
        <f t="shared" si="271"/>
        <v>0</v>
      </c>
      <c r="AN21" s="46">
        <f t="shared" si="272"/>
        <v>0</v>
      </c>
      <c r="AO21" s="45">
        <f t="shared" si="273"/>
        <v>0</v>
      </c>
      <c r="AP21" s="45">
        <f t="shared" si="274"/>
        <v>0</v>
      </c>
      <c r="AQ21" s="52">
        <v>0</v>
      </c>
      <c r="AR21" s="19">
        <v>0</v>
      </c>
      <c r="AS21" s="47">
        <f t="shared" si="275"/>
        <v>0</v>
      </c>
      <c r="AT21" s="46">
        <f t="shared" si="276"/>
        <v>0</v>
      </c>
      <c r="AU21" s="46">
        <f t="shared" si="277"/>
        <v>0</v>
      </c>
      <c r="AV21" s="46">
        <f t="shared" si="278"/>
        <v>0</v>
      </c>
      <c r="AW21" s="45">
        <f t="shared" si="279"/>
        <v>0</v>
      </c>
      <c r="AX21" s="45">
        <f t="shared" si="280"/>
        <v>0</v>
      </c>
      <c r="AY21" s="52">
        <v>0</v>
      </c>
      <c r="AZ21" s="19">
        <v>0</v>
      </c>
      <c r="BA21" s="47">
        <f t="shared" si="281"/>
        <v>0</v>
      </c>
      <c r="BB21" s="46">
        <f t="shared" si="282"/>
        <v>0</v>
      </c>
      <c r="BC21" s="46">
        <f t="shared" si="283"/>
        <v>0</v>
      </c>
      <c r="BD21" s="46">
        <f t="shared" si="284"/>
        <v>0</v>
      </c>
      <c r="BE21" s="45">
        <f t="shared" si="285"/>
        <v>0</v>
      </c>
      <c r="BF21" s="45">
        <f t="shared" si="286"/>
        <v>0</v>
      </c>
      <c r="BG21" s="52">
        <v>0</v>
      </c>
      <c r="BH21" s="19">
        <v>0</v>
      </c>
      <c r="BI21" s="47">
        <f t="shared" si="287"/>
        <v>0</v>
      </c>
      <c r="BJ21" s="46">
        <f t="shared" si="288"/>
        <v>0</v>
      </c>
      <c r="BK21" s="46">
        <f t="shared" si="289"/>
        <v>0</v>
      </c>
      <c r="BL21" s="46">
        <f t="shared" si="290"/>
        <v>0</v>
      </c>
      <c r="BM21" s="45">
        <f t="shared" si="291"/>
        <v>0</v>
      </c>
      <c r="BN21" s="45">
        <f t="shared" si="292"/>
        <v>0</v>
      </c>
      <c r="BO21" s="52">
        <v>0</v>
      </c>
      <c r="BP21" s="19">
        <v>0</v>
      </c>
      <c r="BQ21" s="47">
        <f t="shared" si="293"/>
        <v>0</v>
      </c>
      <c r="BR21" s="46">
        <f t="shared" si="294"/>
        <v>0</v>
      </c>
      <c r="BS21" s="46">
        <f t="shared" si="295"/>
        <v>0</v>
      </c>
      <c r="BT21" s="46">
        <f t="shared" si="296"/>
        <v>0</v>
      </c>
      <c r="BU21" s="45">
        <f t="shared" si="297"/>
        <v>0</v>
      </c>
      <c r="BV21" s="45">
        <f t="shared" si="298"/>
        <v>0</v>
      </c>
      <c r="BW21" s="52">
        <v>0</v>
      </c>
      <c r="BX21" s="19">
        <v>0</v>
      </c>
      <c r="BY21" s="47">
        <f t="shared" si="299"/>
        <v>0</v>
      </c>
      <c r="BZ21" s="46">
        <f t="shared" si="300"/>
        <v>0</v>
      </c>
      <c r="CA21" s="46">
        <f t="shared" si="301"/>
        <v>0</v>
      </c>
      <c r="CB21" s="46">
        <f t="shared" si="302"/>
        <v>0</v>
      </c>
      <c r="CC21" s="45">
        <f t="shared" si="303"/>
        <v>0</v>
      </c>
      <c r="CD21" s="45">
        <f t="shared" si="304"/>
        <v>0</v>
      </c>
      <c r="CE21" s="52">
        <v>0</v>
      </c>
      <c r="CF21" s="19">
        <v>0</v>
      </c>
      <c r="CG21" s="47">
        <f t="shared" si="305"/>
        <v>0</v>
      </c>
      <c r="CH21" s="46">
        <f t="shared" si="306"/>
        <v>0</v>
      </c>
      <c r="CI21" s="46">
        <f t="shared" si="307"/>
        <v>0</v>
      </c>
      <c r="CJ21" s="46">
        <f t="shared" si="308"/>
        <v>0</v>
      </c>
      <c r="CK21" s="45">
        <f t="shared" si="309"/>
        <v>0</v>
      </c>
      <c r="CL21" s="45">
        <f t="shared" si="310"/>
        <v>0</v>
      </c>
      <c r="CM21" s="52">
        <v>0</v>
      </c>
      <c r="CN21" s="19">
        <v>0</v>
      </c>
      <c r="CO21" s="47">
        <f t="shared" si="311"/>
        <v>0</v>
      </c>
      <c r="CP21" s="46">
        <f t="shared" si="312"/>
        <v>0</v>
      </c>
      <c r="CQ21" s="46">
        <f t="shared" si="313"/>
        <v>0</v>
      </c>
      <c r="CR21" s="46">
        <f t="shared" si="314"/>
        <v>0</v>
      </c>
      <c r="CS21" s="45">
        <f t="shared" si="315"/>
        <v>0</v>
      </c>
      <c r="CT21" s="45">
        <f t="shared" si="316"/>
        <v>0</v>
      </c>
      <c r="CU21" s="52">
        <v>0</v>
      </c>
      <c r="CV21" s="19">
        <v>0</v>
      </c>
      <c r="CW21" s="47">
        <f t="shared" si="317"/>
        <v>0</v>
      </c>
      <c r="CX21" s="46">
        <f t="shared" si="318"/>
        <v>0</v>
      </c>
      <c r="CY21" s="46">
        <f t="shared" si="319"/>
        <v>0</v>
      </c>
      <c r="CZ21" s="46">
        <f t="shared" si="320"/>
        <v>0</v>
      </c>
      <c r="DA21" s="45">
        <f t="shared" si="321"/>
        <v>0</v>
      </c>
      <c r="DB21" s="45">
        <f t="shared" si="322"/>
        <v>0</v>
      </c>
      <c r="DC21" s="52">
        <v>0</v>
      </c>
      <c r="DD21" s="19">
        <v>0</v>
      </c>
      <c r="DE21" s="47">
        <v>0</v>
      </c>
      <c r="DF21" s="46">
        <f t="shared" si="323"/>
        <v>0</v>
      </c>
      <c r="DG21" s="46">
        <f t="shared" si="324"/>
        <v>0</v>
      </c>
      <c r="DH21" s="46">
        <f t="shared" si="325"/>
        <v>0</v>
      </c>
      <c r="DI21" s="45">
        <f t="shared" si="326"/>
        <v>0</v>
      </c>
      <c r="DJ21" s="45">
        <f t="shared" si="327"/>
        <v>0</v>
      </c>
      <c r="DK21" s="52">
        <v>0</v>
      </c>
      <c r="DL21" s="19">
        <v>0</v>
      </c>
      <c r="DM21" s="47">
        <f t="shared" si="328"/>
        <v>0</v>
      </c>
      <c r="DN21" s="46">
        <f t="shared" si="329"/>
        <v>0</v>
      </c>
      <c r="DO21" s="46">
        <f t="shared" si="330"/>
        <v>0</v>
      </c>
      <c r="DP21" s="46">
        <f t="shared" si="331"/>
        <v>0</v>
      </c>
      <c r="DQ21" s="45">
        <f t="shared" si="332"/>
        <v>0</v>
      </c>
      <c r="DR21" s="45">
        <f t="shared" si="333"/>
        <v>0</v>
      </c>
    </row>
    <row r="22" spans="1:122" ht="18.600000000000001" customHeight="1" x14ac:dyDescent="0.3">
      <c r="A22" s="108"/>
      <c r="B22" s="106"/>
      <c r="C22" s="106"/>
      <c r="D22" s="112"/>
      <c r="E22" s="44"/>
      <c r="F22" s="18" t="s">
        <v>15</v>
      </c>
      <c r="G22" s="70">
        <v>1</v>
      </c>
      <c r="H22" s="71">
        <v>1</v>
      </c>
      <c r="I22" s="71">
        <f t="shared" si="0"/>
        <v>0</v>
      </c>
      <c r="J22" s="58">
        <f t="shared" si="201"/>
        <v>0</v>
      </c>
      <c r="K22" s="52">
        <v>0</v>
      </c>
      <c r="L22" s="19">
        <v>0</v>
      </c>
      <c r="M22" s="47">
        <f t="shared" si="202"/>
        <v>0</v>
      </c>
      <c r="N22" s="46">
        <f t="shared" si="203"/>
        <v>0</v>
      </c>
      <c r="O22" s="46">
        <f t="shared" si="204"/>
        <v>0</v>
      </c>
      <c r="P22" s="46">
        <f t="shared" si="205"/>
        <v>0</v>
      </c>
      <c r="Q22" s="45">
        <f t="shared" si="206"/>
        <v>0</v>
      </c>
      <c r="R22" s="45">
        <f t="shared" si="207"/>
        <v>0</v>
      </c>
      <c r="S22" s="52">
        <v>0</v>
      </c>
      <c r="T22" s="19">
        <v>0</v>
      </c>
      <c r="U22" s="47">
        <f t="shared" si="208"/>
        <v>0</v>
      </c>
      <c r="V22" s="46">
        <f t="shared" si="9"/>
        <v>0</v>
      </c>
      <c r="W22" s="46">
        <f t="shared" si="259"/>
        <v>0</v>
      </c>
      <c r="X22" s="46">
        <f t="shared" si="260"/>
        <v>0</v>
      </c>
      <c r="Y22" s="45">
        <f t="shared" si="261"/>
        <v>0</v>
      </c>
      <c r="Z22" s="45">
        <f t="shared" si="262"/>
        <v>0</v>
      </c>
      <c r="AA22" s="52">
        <v>0</v>
      </c>
      <c r="AB22" s="19">
        <v>0</v>
      </c>
      <c r="AC22" s="47">
        <f t="shared" si="263"/>
        <v>0</v>
      </c>
      <c r="AD22" s="46">
        <f t="shared" si="264"/>
        <v>0</v>
      </c>
      <c r="AE22" s="46">
        <f t="shared" si="265"/>
        <v>0</v>
      </c>
      <c r="AF22" s="46">
        <f t="shared" si="266"/>
        <v>0</v>
      </c>
      <c r="AG22" s="45">
        <f t="shared" si="267"/>
        <v>0</v>
      </c>
      <c r="AH22" s="45">
        <f t="shared" si="268"/>
        <v>0</v>
      </c>
      <c r="AI22" s="52">
        <v>0</v>
      </c>
      <c r="AJ22" s="19">
        <v>0</v>
      </c>
      <c r="AK22" s="47">
        <f t="shared" si="269"/>
        <v>0</v>
      </c>
      <c r="AL22" s="46">
        <f t="shared" si="270"/>
        <v>0</v>
      </c>
      <c r="AM22" s="46">
        <f t="shared" si="271"/>
        <v>0</v>
      </c>
      <c r="AN22" s="46">
        <f t="shared" si="272"/>
        <v>0</v>
      </c>
      <c r="AO22" s="45">
        <f t="shared" si="273"/>
        <v>0</v>
      </c>
      <c r="AP22" s="45">
        <f t="shared" si="274"/>
        <v>0</v>
      </c>
      <c r="AQ22" s="52">
        <v>0</v>
      </c>
      <c r="AR22" s="19">
        <v>0</v>
      </c>
      <c r="AS22" s="47">
        <f t="shared" si="275"/>
        <v>0</v>
      </c>
      <c r="AT22" s="46">
        <f t="shared" si="276"/>
        <v>0</v>
      </c>
      <c r="AU22" s="46">
        <f t="shared" si="277"/>
        <v>0</v>
      </c>
      <c r="AV22" s="46">
        <f t="shared" si="278"/>
        <v>0</v>
      </c>
      <c r="AW22" s="45">
        <f t="shared" si="279"/>
        <v>0</v>
      </c>
      <c r="AX22" s="45">
        <f t="shared" si="280"/>
        <v>0</v>
      </c>
      <c r="AY22" s="52">
        <v>0</v>
      </c>
      <c r="AZ22" s="19">
        <v>0</v>
      </c>
      <c r="BA22" s="47">
        <f t="shared" si="281"/>
        <v>0</v>
      </c>
      <c r="BB22" s="46">
        <f t="shared" si="282"/>
        <v>0</v>
      </c>
      <c r="BC22" s="46">
        <f t="shared" si="283"/>
        <v>0</v>
      </c>
      <c r="BD22" s="46">
        <f t="shared" si="284"/>
        <v>0</v>
      </c>
      <c r="BE22" s="45">
        <f t="shared" si="285"/>
        <v>0</v>
      </c>
      <c r="BF22" s="45">
        <f t="shared" si="286"/>
        <v>0</v>
      </c>
      <c r="BG22" s="52">
        <v>0</v>
      </c>
      <c r="BH22" s="19">
        <v>0</v>
      </c>
      <c r="BI22" s="47">
        <f t="shared" si="287"/>
        <v>0</v>
      </c>
      <c r="BJ22" s="46">
        <f t="shared" si="288"/>
        <v>0</v>
      </c>
      <c r="BK22" s="46">
        <f t="shared" si="289"/>
        <v>0</v>
      </c>
      <c r="BL22" s="46">
        <f t="shared" si="290"/>
        <v>0</v>
      </c>
      <c r="BM22" s="45">
        <f t="shared" si="291"/>
        <v>0</v>
      </c>
      <c r="BN22" s="45">
        <f t="shared" si="292"/>
        <v>0</v>
      </c>
      <c r="BO22" s="52">
        <v>0</v>
      </c>
      <c r="BP22" s="19">
        <v>0</v>
      </c>
      <c r="BQ22" s="47">
        <f t="shared" si="293"/>
        <v>0</v>
      </c>
      <c r="BR22" s="46">
        <f t="shared" si="294"/>
        <v>0</v>
      </c>
      <c r="BS22" s="46">
        <f t="shared" si="295"/>
        <v>0</v>
      </c>
      <c r="BT22" s="46">
        <f t="shared" si="296"/>
        <v>0</v>
      </c>
      <c r="BU22" s="45">
        <f t="shared" si="297"/>
        <v>0</v>
      </c>
      <c r="BV22" s="45">
        <f t="shared" si="298"/>
        <v>0</v>
      </c>
      <c r="BW22" s="52">
        <v>0</v>
      </c>
      <c r="BX22" s="19">
        <v>0</v>
      </c>
      <c r="BY22" s="47">
        <f t="shared" si="299"/>
        <v>0</v>
      </c>
      <c r="BZ22" s="46">
        <f t="shared" si="300"/>
        <v>0</v>
      </c>
      <c r="CA22" s="46">
        <f t="shared" si="301"/>
        <v>0</v>
      </c>
      <c r="CB22" s="46">
        <f t="shared" si="302"/>
        <v>0</v>
      </c>
      <c r="CC22" s="45">
        <f t="shared" si="303"/>
        <v>0</v>
      </c>
      <c r="CD22" s="45">
        <f t="shared" si="304"/>
        <v>0</v>
      </c>
      <c r="CE22" s="52">
        <v>0</v>
      </c>
      <c r="CF22" s="19">
        <v>0</v>
      </c>
      <c r="CG22" s="47">
        <f t="shared" si="305"/>
        <v>0</v>
      </c>
      <c r="CH22" s="46">
        <f t="shared" si="306"/>
        <v>0</v>
      </c>
      <c r="CI22" s="46">
        <f t="shared" si="307"/>
        <v>0</v>
      </c>
      <c r="CJ22" s="46">
        <f t="shared" si="308"/>
        <v>0</v>
      </c>
      <c r="CK22" s="45">
        <f t="shared" si="309"/>
        <v>0</v>
      </c>
      <c r="CL22" s="45">
        <f t="shared" si="310"/>
        <v>0</v>
      </c>
      <c r="CM22" s="52">
        <v>0</v>
      </c>
      <c r="CN22" s="19">
        <v>0</v>
      </c>
      <c r="CO22" s="47">
        <f t="shared" si="311"/>
        <v>0</v>
      </c>
      <c r="CP22" s="46">
        <f t="shared" si="312"/>
        <v>0</v>
      </c>
      <c r="CQ22" s="46">
        <f t="shared" si="313"/>
        <v>0</v>
      </c>
      <c r="CR22" s="46">
        <f t="shared" si="314"/>
        <v>0</v>
      </c>
      <c r="CS22" s="45">
        <f t="shared" si="315"/>
        <v>0</v>
      </c>
      <c r="CT22" s="45">
        <f t="shared" si="316"/>
        <v>0</v>
      </c>
      <c r="CU22" s="52">
        <v>0</v>
      </c>
      <c r="CV22" s="19">
        <v>0</v>
      </c>
      <c r="CW22" s="47">
        <f t="shared" si="317"/>
        <v>0</v>
      </c>
      <c r="CX22" s="46">
        <f t="shared" si="318"/>
        <v>0</v>
      </c>
      <c r="CY22" s="46">
        <f t="shared" si="319"/>
        <v>0</v>
      </c>
      <c r="CZ22" s="46">
        <f t="shared" si="320"/>
        <v>0</v>
      </c>
      <c r="DA22" s="45">
        <f t="shared" si="321"/>
        <v>0</v>
      </c>
      <c r="DB22" s="45">
        <f t="shared" si="322"/>
        <v>0</v>
      </c>
      <c r="DC22" s="52">
        <v>0</v>
      </c>
      <c r="DD22" s="19">
        <v>0</v>
      </c>
      <c r="DE22" s="47">
        <v>0</v>
      </c>
      <c r="DF22" s="46">
        <f t="shared" si="323"/>
        <v>0</v>
      </c>
      <c r="DG22" s="46">
        <f t="shared" si="324"/>
        <v>0</v>
      </c>
      <c r="DH22" s="46">
        <f t="shared" si="325"/>
        <v>0</v>
      </c>
      <c r="DI22" s="45">
        <f t="shared" si="326"/>
        <v>0</v>
      </c>
      <c r="DJ22" s="45">
        <f t="shared" si="327"/>
        <v>0</v>
      </c>
      <c r="DK22" s="52">
        <v>0</v>
      </c>
      <c r="DL22" s="19">
        <v>0</v>
      </c>
      <c r="DM22" s="47">
        <f t="shared" si="328"/>
        <v>0</v>
      </c>
      <c r="DN22" s="46">
        <f t="shared" si="329"/>
        <v>0</v>
      </c>
      <c r="DO22" s="46">
        <f t="shared" si="330"/>
        <v>0</v>
      </c>
      <c r="DP22" s="46">
        <f t="shared" si="331"/>
        <v>0</v>
      </c>
      <c r="DQ22" s="45">
        <f t="shared" si="332"/>
        <v>0</v>
      </c>
      <c r="DR22" s="45">
        <f t="shared" si="333"/>
        <v>0</v>
      </c>
    </row>
    <row r="23" spans="1:122" ht="18" customHeight="1" x14ac:dyDescent="0.3">
      <c r="A23" s="108"/>
      <c r="B23" s="101" t="s">
        <v>54</v>
      </c>
      <c r="C23" s="131" t="s">
        <v>62</v>
      </c>
      <c r="D23" s="132" t="s">
        <v>76</v>
      </c>
      <c r="E23" s="20"/>
      <c r="F23" s="18" t="s">
        <v>14</v>
      </c>
      <c r="G23" s="70">
        <v>1</v>
      </c>
      <c r="H23" s="71">
        <v>1</v>
      </c>
      <c r="I23" s="71">
        <f t="shared" si="0"/>
        <v>0</v>
      </c>
      <c r="J23" s="59">
        <f t="shared" ref="J23:J37" si="334">IFERROR(IF((I23/H23)&gt;=1,100%,(I23/H23)),0%)</f>
        <v>0</v>
      </c>
      <c r="K23" s="52">
        <v>0</v>
      </c>
      <c r="L23" s="19">
        <v>0</v>
      </c>
      <c r="M23" s="50">
        <f t="shared" ref="M23:M37" si="335">IFERROR(IF((L23/K23)&gt;=1,100%,(L23/K23)),0%)</f>
        <v>0</v>
      </c>
      <c r="N23" s="49">
        <f t="shared" ref="N23:N37" si="336">+K23</f>
        <v>0</v>
      </c>
      <c r="O23" s="49">
        <f t="shared" ref="O23:O37" si="337">+L23</f>
        <v>0</v>
      </c>
      <c r="P23" s="49">
        <f t="shared" ref="P23:P37" si="338">O23-N23</f>
        <v>0</v>
      </c>
      <c r="Q23" s="48">
        <f t="shared" ref="Q23:Q37" si="339">N23/$G23</f>
        <v>0</v>
      </c>
      <c r="R23" s="48">
        <f t="shared" ref="R23:R37" si="340">O23/$G23</f>
        <v>0</v>
      </c>
      <c r="S23" s="52">
        <v>0</v>
      </c>
      <c r="T23" s="19">
        <v>0</v>
      </c>
      <c r="U23" s="50">
        <f t="shared" ref="U23:U37" si="341">IFERROR(IF((T23/S23)&gt;=1,100%,(T23/S23)),0%)</f>
        <v>0</v>
      </c>
      <c r="V23" s="49">
        <f t="shared" si="9"/>
        <v>0</v>
      </c>
      <c r="W23" s="49">
        <f t="shared" si="10"/>
        <v>0</v>
      </c>
      <c r="X23" s="49">
        <f t="shared" ref="X23:X37" si="342">W23-V23</f>
        <v>0</v>
      </c>
      <c r="Y23" s="48">
        <f t="shared" ref="Y23:Y37" si="343">V23/$G23</f>
        <v>0</v>
      </c>
      <c r="Z23" s="48">
        <f t="shared" ref="Z23:Z37" si="344">W23/$G23</f>
        <v>0</v>
      </c>
      <c r="AA23" s="52">
        <v>0</v>
      </c>
      <c r="AB23" s="19">
        <v>0</v>
      </c>
      <c r="AC23" s="50">
        <f t="shared" ref="AC23:AC37" si="345">IFERROR(IF((AB23/AA23)&gt;=1,100%,(AB23/AA23)),0%)</f>
        <v>0</v>
      </c>
      <c r="AD23" s="49">
        <f t="shared" si="15"/>
        <v>0</v>
      </c>
      <c r="AE23" s="49">
        <f t="shared" si="16"/>
        <v>0</v>
      </c>
      <c r="AF23" s="49">
        <f t="shared" ref="AF23:AF37" si="346">AE23-AD23</f>
        <v>0</v>
      </c>
      <c r="AG23" s="48">
        <f t="shared" ref="AG23:AG37" si="347">AD23/$G23</f>
        <v>0</v>
      </c>
      <c r="AH23" s="48">
        <f t="shared" ref="AH23:AH37" si="348">AE23/$G23</f>
        <v>0</v>
      </c>
      <c r="AI23" s="52">
        <v>0</v>
      </c>
      <c r="AJ23" s="19">
        <v>0</v>
      </c>
      <c r="AK23" s="50">
        <f t="shared" ref="AK23:AK37" si="349">IFERROR(IF((AJ23/AI23)&gt;=1,100%,(AJ23/AI23)),0%)</f>
        <v>0</v>
      </c>
      <c r="AL23" s="49">
        <f t="shared" si="21"/>
        <v>0</v>
      </c>
      <c r="AM23" s="49">
        <f t="shared" si="22"/>
        <v>0</v>
      </c>
      <c r="AN23" s="49">
        <f t="shared" ref="AN23:AN37" si="350">AM23-AL23</f>
        <v>0</v>
      </c>
      <c r="AO23" s="48">
        <f t="shared" ref="AO23:AO37" si="351">AL23/$G23</f>
        <v>0</v>
      </c>
      <c r="AP23" s="48">
        <f t="shared" ref="AP23:AP37" si="352">AM23/$G23</f>
        <v>0</v>
      </c>
      <c r="AQ23" s="52">
        <v>0</v>
      </c>
      <c r="AR23" s="19">
        <v>0</v>
      </c>
      <c r="AS23" s="50">
        <f t="shared" ref="AS23:AS37" si="353">IFERROR(IF((AR23/AQ23)&gt;=1,100%,(AR23/AQ23)),0%)</f>
        <v>0</v>
      </c>
      <c r="AT23" s="49">
        <f t="shared" si="27"/>
        <v>0</v>
      </c>
      <c r="AU23" s="49">
        <f t="shared" si="28"/>
        <v>0</v>
      </c>
      <c r="AV23" s="49">
        <f t="shared" ref="AV23:AV37" si="354">AU23-AT23</f>
        <v>0</v>
      </c>
      <c r="AW23" s="48">
        <f t="shared" ref="AW23:AW37" si="355">AT23/$G23</f>
        <v>0</v>
      </c>
      <c r="AX23" s="48">
        <f t="shared" ref="AX23:AX37" si="356">AU23/$G23</f>
        <v>0</v>
      </c>
      <c r="AY23" s="52">
        <v>0</v>
      </c>
      <c r="AZ23" s="19">
        <v>0</v>
      </c>
      <c r="BA23" s="50">
        <f t="shared" ref="BA23:BA37" si="357">IFERROR(IF((AZ23/AY23)&gt;=1,100%,(AZ23/AY23)),0%)</f>
        <v>0</v>
      </c>
      <c r="BB23" s="49">
        <f t="shared" si="33"/>
        <v>0</v>
      </c>
      <c r="BC23" s="49">
        <f t="shared" si="34"/>
        <v>0</v>
      </c>
      <c r="BD23" s="49">
        <f t="shared" ref="BD23:BD37" si="358">BC23-BB23</f>
        <v>0</v>
      </c>
      <c r="BE23" s="48">
        <f t="shared" ref="BE23:BE37" si="359">BB23/$G23</f>
        <v>0</v>
      </c>
      <c r="BF23" s="48">
        <f t="shared" ref="BF23:BF37" si="360">BC23/$G23</f>
        <v>0</v>
      </c>
      <c r="BG23" s="52">
        <v>0</v>
      </c>
      <c r="BH23" s="19">
        <v>0</v>
      </c>
      <c r="BI23" s="50">
        <f t="shared" ref="BI23:BI37" si="361">IFERROR(IF((BH23/BG23)&gt;=1,100%,(BH23/BG23)),0%)</f>
        <v>0</v>
      </c>
      <c r="BJ23" s="49">
        <f t="shared" si="39"/>
        <v>0</v>
      </c>
      <c r="BK23" s="46">
        <f t="shared" si="289"/>
        <v>0</v>
      </c>
      <c r="BL23" s="46">
        <f t="shared" si="290"/>
        <v>0</v>
      </c>
      <c r="BM23" s="48">
        <f t="shared" ref="BM23:BM37" si="362">BJ23/$G23</f>
        <v>0</v>
      </c>
      <c r="BN23" s="48">
        <f t="shared" ref="BN23:BN37" si="363">BK23/$G23</f>
        <v>0</v>
      </c>
      <c r="BO23" s="52">
        <v>0</v>
      </c>
      <c r="BP23" s="19">
        <v>0</v>
      </c>
      <c r="BQ23" s="50">
        <f t="shared" ref="BQ23:BQ37" si="364">IFERROR(IF((BP23/BO23)&gt;=1,100%,(BP23/BO23)),0%)</f>
        <v>0</v>
      </c>
      <c r="BR23" s="49">
        <f t="shared" si="45"/>
        <v>0</v>
      </c>
      <c r="BS23" s="49">
        <f t="shared" si="46"/>
        <v>0</v>
      </c>
      <c r="BT23" s="49">
        <f t="shared" ref="BT23:BT37" si="365">BS23-BR23</f>
        <v>0</v>
      </c>
      <c r="BU23" s="48">
        <f t="shared" ref="BU23:BU37" si="366">BR23/$G23</f>
        <v>0</v>
      </c>
      <c r="BV23" s="48">
        <f t="shared" ref="BV23:BV37" si="367">BS23/$G23</f>
        <v>0</v>
      </c>
      <c r="BW23" s="52">
        <v>0</v>
      </c>
      <c r="BX23" s="19">
        <v>0</v>
      </c>
      <c r="BY23" s="50">
        <f t="shared" ref="BY23:BY37" si="368">IFERROR(IF((BX23/BW23)&gt;=1,100%,(BX23/BW23)),0%)</f>
        <v>0</v>
      </c>
      <c r="BZ23" s="49">
        <f t="shared" si="51"/>
        <v>0</v>
      </c>
      <c r="CA23" s="49">
        <f t="shared" si="52"/>
        <v>0</v>
      </c>
      <c r="CB23" s="49">
        <f t="shared" ref="CB23:CB37" si="369">CA23-BZ23</f>
        <v>0</v>
      </c>
      <c r="CC23" s="48">
        <f t="shared" ref="CC23:CC37" si="370">BZ23/$G23</f>
        <v>0</v>
      </c>
      <c r="CD23" s="48">
        <f t="shared" ref="CD23:CD37" si="371">CA23/$G23</f>
        <v>0</v>
      </c>
      <c r="CE23" s="52">
        <v>0</v>
      </c>
      <c r="CF23" s="19">
        <v>0</v>
      </c>
      <c r="CG23" s="50">
        <f t="shared" ref="CG23:CG37" si="372">IFERROR(IF((CF23/CE23)&gt;=1,100%,(CF23/CE23)),0%)</f>
        <v>0</v>
      </c>
      <c r="CH23" s="49">
        <f t="shared" si="57"/>
        <v>0</v>
      </c>
      <c r="CI23" s="49">
        <f t="shared" si="58"/>
        <v>0</v>
      </c>
      <c r="CJ23" s="49">
        <f t="shared" ref="CJ23:CJ37" si="373">CI23-CH23</f>
        <v>0</v>
      </c>
      <c r="CK23" s="48">
        <f t="shared" ref="CK23:CK37" si="374">CH23/$G23</f>
        <v>0</v>
      </c>
      <c r="CL23" s="48">
        <f t="shared" ref="CL23:CL37" si="375">CI23/$G23</f>
        <v>0</v>
      </c>
      <c r="CM23" s="52">
        <v>0</v>
      </c>
      <c r="CN23" s="19">
        <v>0</v>
      </c>
      <c r="CO23" s="50">
        <f t="shared" ref="CO23:CO37" si="376">IFERROR(IF((CN23/CM23)&gt;=1,100%,(CN23/CM23)),0%)</f>
        <v>0</v>
      </c>
      <c r="CP23" s="49">
        <f t="shared" si="63"/>
        <v>0</v>
      </c>
      <c r="CQ23" s="49">
        <f t="shared" si="64"/>
        <v>0</v>
      </c>
      <c r="CR23" s="49">
        <f t="shared" ref="CR23:CR37" si="377">CQ23-CP23</f>
        <v>0</v>
      </c>
      <c r="CS23" s="48">
        <f t="shared" ref="CS23:CS37" si="378">CP23/$G23</f>
        <v>0</v>
      </c>
      <c r="CT23" s="48">
        <f t="shared" ref="CT23:CT37" si="379">CQ23/$G23</f>
        <v>0</v>
      </c>
      <c r="CU23" s="52">
        <v>0</v>
      </c>
      <c r="CV23" s="19">
        <v>0</v>
      </c>
      <c r="CW23" s="50">
        <f t="shared" ref="CW23:CW37" si="380">IFERROR(IF((CV23/CU23)&gt;=1,100%,(CV23/CU23)),0%)</f>
        <v>0</v>
      </c>
      <c r="CX23" s="49">
        <f t="shared" si="69"/>
        <v>0</v>
      </c>
      <c r="CY23" s="49">
        <f t="shared" si="70"/>
        <v>0</v>
      </c>
      <c r="CZ23" s="49">
        <f t="shared" ref="CZ23:CZ37" si="381">CY23-CX23</f>
        <v>0</v>
      </c>
      <c r="DA23" s="48">
        <f t="shared" ref="DA23:DA37" si="382">CX23/$G23</f>
        <v>0</v>
      </c>
      <c r="DB23" s="48">
        <f t="shared" ref="DB23:DB37" si="383">CY23/$G23</f>
        <v>0</v>
      </c>
      <c r="DC23" s="52">
        <v>0</v>
      </c>
      <c r="DD23" s="19">
        <v>0</v>
      </c>
      <c r="DE23" s="50">
        <v>0</v>
      </c>
      <c r="DF23" s="49">
        <f t="shared" si="74"/>
        <v>0</v>
      </c>
      <c r="DG23" s="49">
        <f t="shared" si="75"/>
        <v>0</v>
      </c>
      <c r="DH23" s="49">
        <f t="shared" ref="DH23:DH37" si="384">DG23-DF23</f>
        <v>0</v>
      </c>
      <c r="DI23" s="48">
        <f t="shared" ref="DI23:DI37" si="385">DF23/$G23</f>
        <v>0</v>
      </c>
      <c r="DJ23" s="48">
        <f t="shared" ref="DJ23:DJ37" si="386">DG23/$G23</f>
        <v>0</v>
      </c>
      <c r="DK23" s="52">
        <v>0</v>
      </c>
      <c r="DL23" s="19">
        <v>0</v>
      </c>
      <c r="DM23" s="50">
        <f t="shared" ref="DM23:DM37" si="387">IFERROR(IF((DL23/DK23)&gt;=1,100%,(DL23/DK23)),0%)</f>
        <v>0</v>
      </c>
      <c r="DN23" s="49">
        <f t="shared" si="80"/>
        <v>0</v>
      </c>
      <c r="DO23" s="49">
        <f t="shared" si="81"/>
        <v>0</v>
      </c>
      <c r="DP23" s="49">
        <f t="shared" ref="DP23:DP37" si="388">DO23-DN23</f>
        <v>0</v>
      </c>
      <c r="DQ23" s="48">
        <f t="shared" ref="DQ23:DQ37" si="389">DN23/$G23</f>
        <v>0</v>
      </c>
      <c r="DR23" s="48">
        <f t="shared" ref="DR23:DR37" si="390">DO23/$G23</f>
        <v>0</v>
      </c>
    </row>
    <row r="24" spans="1:122" ht="18" customHeight="1" x14ac:dyDescent="0.3">
      <c r="A24" s="108"/>
      <c r="B24" s="102"/>
      <c r="C24" s="131"/>
      <c r="D24" s="132"/>
      <c r="E24" s="20"/>
      <c r="F24" s="18" t="s">
        <v>16</v>
      </c>
      <c r="G24" s="70">
        <v>1</v>
      </c>
      <c r="H24" s="71">
        <v>1</v>
      </c>
      <c r="I24" s="71">
        <f t="shared" si="0"/>
        <v>0</v>
      </c>
      <c r="J24" s="59">
        <f t="shared" si="334"/>
        <v>0</v>
      </c>
      <c r="K24" s="52">
        <v>0</v>
      </c>
      <c r="L24" s="19">
        <v>0</v>
      </c>
      <c r="M24" s="50">
        <f t="shared" si="335"/>
        <v>0</v>
      </c>
      <c r="N24" s="49">
        <f t="shared" si="336"/>
        <v>0</v>
      </c>
      <c r="O24" s="49">
        <f t="shared" si="337"/>
        <v>0</v>
      </c>
      <c r="P24" s="49">
        <f t="shared" si="338"/>
        <v>0</v>
      </c>
      <c r="Q24" s="48">
        <f t="shared" si="339"/>
        <v>0</v>
      </c>
      <c r="R24" s="48">
        <f t="shared" si="340"/>
        <v>0</v>
      </c>
      <c r="S24" s="52">
        <v>0</v>
      </c>
      <c r="T24" s="19">
        <v>0</v>
      </c>
      <c r="U24" s="50">
        <f t="shared" si="341"/>
        <v>0</v>
      </c>
      <c r="V24" s="49">
        <f t="shared" ref="V24:V37" si="391">N24+S24</f>
        <v>0</v>
      </c>
      <c r="W24" s="49">
        <f t="shared" ref="W24:W37" si="392">O24+T24</f>
        <v>0</v>
      </c>
      <c r="X24" s="49">
        <f t="shared" si="342"/>
        <v>0</v>
      </c>
      <c r="Y24" s="48">
        <f t="shared" si="343"/>
        <v>0</v>
      </c>
      <c r="Z24" s="48">
        <f t="shared" si="344"/>
        <v>0</v>
      </c>
      <c r="AA24" s="52">
        <v>0</v>
      </c>
      <c r="AB24" s="19">
        <v>0</v>
      </c>
      <c r="AC24" s="50">
        <f t="shared" si="345"/>
        <v>0</v>
      </c>
      <c r="AD24" s="49">
        <f t="shared" ref="AD24:AD37" si="393">V24+AA24</f>
        <v>0</v>
      </c>
      <c r="AE24" s="49">
        <f t="shared" ref="AE24:AE37" si="394">W24+AB24</f>
        <v>0</v>
      </c>
      <c r="AF24" s="49">
        <f t="shared" si="346"/>
        <v>0</v>
      </c>
      <c r="AG24" s="48">
        <f t="shared" si="347"/>
        <v>0</v>
      </c>
      <c r="AH24" s="48">
        <f t="shared" si="348"/>
        <v>0</v>
      </c>
      <c r="AI24" s="52">
        <v>0</v>
      </c>
      <c r="AJ24" s="19">
        <v>0</v>
      </c>
      <c r="AK24" s="50">
        <f t="shared" si="349"/>
        <v>0</v>
      </c>
      <c r="AL24" s="49">
        <f t="shared" ref="AL24:AL37" si="395">AD24+AI24</f>
        <v>0</v>
      </c>
      <c r="AM24" s="49">
        <f t="shared" ref="AM24:AM37" si="396">AE24+AJ24</f>
        <v>0</v>
      </c>
      <c r="AN24" s="49">
        <f t="shared" si="350"/>
        <v>0</v>
      </c>
      <c r="AO24" s="48">
        <f t="shared" si="351"/>
        <v>0</v>
      </c>
      <c r="AP24" s="48">
        <f t="shared" si="352"/>
        <v>0</v>
      </c>
      <c r="AQ24" s="52">
        <v>0</v>
      </c>
      <c r="AR24" s="19">
        <v>0</v>
      </c>
      <c r="AS24" s="50">
        <f t="shared" si="353"/>
        <v>0</v>
      </c>
      <c r="AT24" s="49">
        <f t="shared" ref="AT24:AT37" si="397">AL24+AQ24</f>
        <v>0</v>
      </c>
      <c r="AU24" s="49">
        <f t="shared" ref="AU24:AU37" si="398">AM24+AR24</f>
        <v>0</v>
      </c>
      <c r="AV24" s="49">
        <f t="shared" si="354"/>
        <v>0</v>
      </c>
      <c r="AW24" s="48">
        <f t="shared" si="355"/>
        <v>0</v>
      </c>
      <c r="AX24" s="48">
        <f t="shared" si="356"/>
        <v>0</v>
      </c>
      <c r="AY24" s="52">
        <v>0</v>
      </c>
      <c r="AZ24" s="19">
        <v>0</v>
      </c>
      <c r="BA24" s="50">
        <f t="shared" si="357"/>
        <v>0</v>
      </c>
      <c r="BB24" s="49">
        <f t="shared" ref="BB24:BB37" si="399">AT24+AY24</f>
        <v>0</v>
      </c>
      <c r="BC24" s="49">
        <f t="shared" ref="BC24:BC37" si="400">AU24+AZ24</f>
        <v>0</v>
      </c>
      <c r="BD24" s="49">
        <f t="shared" si="358"/>
        <v>0</v>
      </c>
      <c r="BE24" s="48">
        <f t="shared" si="359"/>
        <v>0</v>
      </c>
      <c r="BF24" s="48">
        <f t="shared" si="360"/>
        <v>0</v>
      </c>
      <c r="BG24" s="52">
        <v>0</v>
      </c>
      <c r="BH24" s="19">
        <v>0</v>
      </c>
      <c r="BI24" s="50">
        <f t="shared" si="361"/>
        <v>0</v>
      </c>
      <c r="BJ24" s="49">
        <f t="shared" ref="BJ24:BJ37" si="401">BB24+BG24</f>
        <v>0</v>
      </c>
      <c r="BK24" s="46">
        <f t="shared" si="289"/>
        <v>0</v>
      </c>
      <c r="BL24" s="46">
        <f t="shared" si="290"/>
        <v>0</v>
      </c>
      <c r="BM24" s="48">
        <f t="shared" si="362"/>
        <v>0</v>
      </c>
      <c r="BN24" s="48">
        <f t="shared" si="363"/>
        <v>0</v>
      </c>
      <c r="BO24" s="52">
        <v>0</v>
      </c>
      <c r="BP24" s="19">
        <v>0</v>
      </c>
      <c r="BQ24" s="50">
        <f t="shared" si="364"/>
        <v>0</v>
      </c>
      <c r="BR24" s="49">
        <f t="shared" ref="BR24:BR37" si="402">BJ24+BO24</f>
        <v>0</v>
      </c>
      <c r="BS24" s="49">
        <f t="shared" ref="BS24:BS37" si="403">BK24+BP24</f>
        <v>0</v>
      </c>
      <c r="BT24" s="49">
        <f t="shared" si="365"/>
        <v>0</v>
      </c>
      <c r="BU24" s="48">
        <f t="shared" si="366"/>
        <v>0</v>
      </c>
      <c r="BV24" s="48">
        <f t="shared" si="367"/>
        <v>0</v>
      </c>
      <c r="BW24" s="52">
        <v>0</v>
      </c>
      <c r="BX24" s="19">
        <v>0</v>
      </c>
      <c r="BY24" s="50">
        <f t="shared" si="368"/>
        <v>0</v>
      </c>
      <c r="BZ24" s="49">
        <f t="shared" ref="BZ24:BZ37" si="404">BR24+BW24</f>
        <v>0</v>
      </c>
      <c r="CA24" s="49">
        <f t="shared" ref="CA24:CA37" si="405">BS24+BX24</f>
        <v>0</v>
      </c>
      <c r="CB24" s="49">
        <f t="shared" si="369"/>
        <v>0</v>
      </c>
      <c r="CC24" s="48">
        <f t="shared" si="370"/>
        <v>0</v>
      </c>
      <c r="CD24" s="48">
        <f t="shared" si="371"/>
        <v>0</v>
      </c>
      <c r="CE24" s="52">
        <v>0</v>
      </c>
      <c r="CF24" s="19">
        <v>0</v>
      </c>
      <c r="CG24" s="50">
        <f t="shared" si="372"/>
        <v>0</v>
      </c>
      <c r="CH24" s="49">
        <f t="shared" ref="CH24:CH37" si="406">BZ24+CE24</f>
        <v>0</v>
      </c>
      <c r="CI24" s="49">
        <f t="shared" ref="CI24:CI37" si="407">CA24+CF24</f>
        <v>0</v>
      </c>
      <c r="CJ24" s="49">
        <f t="shared" si="373"/>
        <v>0</v>
      </c>
      <c r="CK24" s="48">
        <f t="shared" si="374"/>
        <v>0</v>
      </c>
      <c r="CL24" s="48">
        <f t="shared" si="375"/>
        <v>0</v>
      </c>
      <c r="CM24" s="52">
        <v>0</v>
      </c>
      <c r="CN24" s="19">
        <v>0</v>
      </c>
      <c r="CO24" s="50">
        <f t="shared" si="376"/>
        <v>0</v>
      </c>
      <c r="CP24" s="49">
        <f t="shared" ref="CP24:CP37" si="408">CH24+CM24</f>
        <v>0</v>
      </c>
      <c r="CQ24" s="49">
        <f t="shared" ref="CQ24:CQ37" si="409">CI24+CN24</f>
        <v>0</v>
      </c>
      <c r="CR24" s="49">
        <f t="shared" si="377"/>
        <v>0</v>
      </c>
      <c r="CS24" s="48">
        <f t="shared" si="378"/>
        <v>0</v>
      </c>
      <c r="CT24" s="48">
        <f t="shared" si="379"/>
        <v>0</v>
      </c>
      <c r="CU24" s="52">
        <v>0</v>
      </c>
      <c r="CV24" s="19">
        <v>0</v>
      </c>
      <c r="CW24" s="50">
        <f t="shared" si="380"/>
        <v>0</v>
      </c>
      <c r="CX24" s="49">
        <f t="shared" ref="CX24:CX37" si="410">CP24+CU24</f>
        <v>0</v>
      </c>
      <c r="CY24" s="49">
        <f t="shared" ref="CY24:CY37" si="411">CQ24+CV24</f>
        <v>0</v>
      </c>
      <c r="CZ24" s="49">
        <f t="shared" si="381"/>
        <v>0</v>
      </c>
      <c r="DA24" s="48">
        <f t="shared" si="382"/>
        <v>0</v>
      </c>
      <c r="DB24" s="48">
        <f t="shared" si="383"/>
        <v>0</v>
      </c>
      <c r="DC24" s="52">
        <v>0</v>
      </c>
      <c r="DD24" s="19">
        <v>0</v>
      </c>
      <c r="DE24" s="50">
        <v>0</v>
      </c>
      <c r="DF24" s="49">
        <f t="shared" ref="DF24:DF37" si="412">CX24+DC24</f>
        <v>0</v>
      </c>
      <c r="DG24" s="49">
        <f t="shared" ref="DG24:DG37" si="413">CY24+DD24</f>
        <v>0</v>
      </c>
      <c r="DH24" s="49">
        <f t="shared" si="384"/>
        <v>0</v>
      </c>
      <c r="DI24" s="48">
        <f t="shared" si="385"/>
        <v>0</v>
      </c>
      <c r="DJ24" s="48">
        <f t="shared" si="386"/>
        <v>0</v>
      </c>
      <c r="DK24" s="52">
        <v>0</v>
      </c>
      <c r="DL24" s="19">
        <v>0</v>
      </c>
      <c r="DM24" s="50">
        <f t="shared" si="387"/>
        <v>0</v>
      </c>
      <c r="DN24" s="49">
        <f t="shared" ref="DN24:DN37" si="414">DF24+DK24</f>
        <v>0</v>
      </c>
      <c r="DO24" s="49">
        <f t="shared" ref="DO24:DO37" si="415">DG24+DL24</f>
        <v>0</v>
      </c>
      <c r="DP24" s="49">
        <f t="shared" si="388"/>
        <v>0</v>
      </c>
      <c r="DQ24" s="48">
        <f t="shared" si="389"/>
        <v>0</v>
      </c>
      <c r="DR24" s="48">
        <f t="shared" si="390"/>
        <v>0</v>
      </c>
    </row>
    <row r="25" spans="1:122" ht="18" customHeight="1" x14ac:dyDescent="0.3">
      <c r="A25" s="108"/>
      <c r="B25" s="102"/>
      <c r="C25" s="131"/>
      <c r="D25" s="132"/>
      <c r="E25" s="20"/>
      <c r="F25" s="18" t="s">
        <v>15</v>
      </c>
      <c r="G25" s="70">
        <v>1</v>
      </c>
      <c r="H25" s="71">
        <v>1</v>
      </c>
      <c r="I25" s="71">
        <f t="shared" si="0"/>
        <v>0</v>
      </c>
      <c r="J25" s="59">
        <f t="shared" si="334"/>
        <v>0</v>
      </c>
      <c r="K25" s="52">
        <v>0</v>
      </c>
      <c r="L25" s="19">
        <v>0</v>
      </c>
      <c r="M25" s="50">
        <f t="shared" si="335"/>
        <v>0</v>
      </c>
      <c r="N25" s="49">
        <f t="shared" si="336"/>
        <v>0</v>
      </c>
      <c r="O25" s="49">
        <f t="shared" si="337"/>
        <v>0</v>
      </c>
      <c r="P25" s="49">
        <f t="shared" si="338"/>
        <v>0</v>
      </c>
      <c r="Q25" s="48">
        <f t="shared" si="339"/>
        <v>0</v>
      </c>
      <c r="R25" s="48">
        <f t="shared" si="340"/>
        <v>0</v>
      </c>
      <c r="S25" s="52">
        <v>0</v>
      </c>
      <c r="T25" s="19">
        <v>0</v>
      </c>
      <c r="U25" s="50">
        <f t="shared" si="341"/>
        <v>0</v>
      </c>
      <c r="V25" s="49">
        <f t="shared" si="391"/>
        <v>0</v>
      </c>
      <c r="W25" s="49">
        <f t="shared" si="392"/>
        <v>0</v>
      </c>
      <c r="X25" s="49">
        <f t="shared" si="342"/>
        <v>0</v>
      </c>
      <c r="Y25" s="48">
        <f t="shared" si="343"/>
        <v>0</v>
      </c>
      <c r="Z25" s="48">
        <f t="shared" si="344"/>
        <v>0</v>
      </c>
      <c r="AA25" s="52">
        <v>0</v>
      </c>
      <c r="AB25" s="19">
        <v>0</v>
      </c>
      <c r="AC25" s="50">
        <f t="shared" si="345"/>
        <v>0</v>
      </c>
      <c r="AD25" s="49">
        <f t="shared" si="393"/>
        <v>0</v>
      </c>
      <c r="AE25" s="49">
        <f t="shared" si="394"/>
        <v>0</v>
      </c>
      <c r="AF25" s="49">
        <f t="shared" si="346"/>
        <v>0</v>
      </c>
      <c r="AG25" s="48">
        <f t="shared" si="347"/>
        <v>0</v>
      </c>
      <c r="AH25" s="48">
        <f t="shared" si="348"/>
        <v>0</v>
      </c>
      <c r="AI25" s="52">
        <v>0</v>
      </c>
      <c r="AJ25" s="19">
        <v>0</v>
      </c>
      <c r="AK25" s="50">
        <f t="shared" si="349"/>
        <v>0</v>
      </c>
      <c r="AL25" s="49">
        <f t="shared" si="395"/>
        <v>0</v>
      </c>
      <c r="AM25" s="49">
        <f t="shared" si="396"/>
        <v>0</v>
      </c>
      <c r="AN25" s="49">
        <f t="shared" si="350"/>
        <v>0</v>
      </c>
      <c r="AO25" s="48">
        <f t="shared" si="351"/>
        <v>0</v>
      </c>
      <c r="AP25" s="48">
        <f t="shared" si="352"/>
        <v>0</v>
      </c>
      <c r="AQ25" s="52">
        <v>0</v>
      </c>
      <c r="AR25" s="19">
        <v>0</v>
      </c>
      <c r="AS25" s="50">
        <f t="shared" si="353"/>
        <v>0</v>
      </c>
      <c r="AT25" s="49">
        <f t="shared" si="397"/>
        <v>0</v>
      </c>
      <c r="AU25" s="49">
        <f t="shared" si="398"/>
        <v>0</v>
      </c>
      <c r="AV25" s="49">
        <f t="shared" si="354"/>
        <v>0</v>
      </c>
      <c r="AW25" s="48">
        <f t="shared" si="355"/>
        <v>0</v>
      </c>
      <c r="AX25" s="48">
        <f t="shared" si="356"/>
        <v>0</v>
      </c>
      <c r="AY25" s="52">
        <v>0</v>
      </c>
      <c r="AZ25" s="19">
        <v>0</v>
      </c>
      <c r="BA25" s="50">
        <f t="shared" si="357"/>
        <v>0</v>
      </c>
      <c r="BB25" s="49">
        <f t="shared" si="399"/>
        <v>0</v>
      </c>
      <c r="BC25" s="49">
        <f t="shared" si="400"/>
        <v>0</v>
      </c>
      <c r="BD25" s="49">
        <f t="shared" si="358"/>
        <v>0</v>
      </c>
      <c r="BE25" s="48">
        <f t="shared" si="359"/>
        <v>0</v>
      </c>
      <c r="BF25" s="48">
        <f t="shared" si="360"/>
        <v>0</v>
      </c>
      <c r="BG25" s="52">
        <v>0</v>
      </c>
      <c r="BH25" s="19">
        <v>0</v>
      </c>
      <c r="BI25" s="50">
        <f t="shared" si="361"/>
        <v>0</v>
      </c>
      <c r="BJ25" s="49">
        <f t="shared" si="401"/>
        <v>0</v>
      </c>
      <c r="BK25" s="46">
        <f t="shared" si="289"/>
        <v>0</v>
      </c>
      <c r="BL25" s="46">
        <f t="shared" si="290"/>
        <v>0</v>
      </c>
      <c r="BM25" s="48">
        <f t="shared" si="362"/>
        <v>0</v>
      </c>
      <c r="BN25" s="48">
        <f t="shared" si="363"/>
        <v>0</v>
      </c>
      <c r="BO25" s="52">
        <v>0</v>
      </c>
      <c r="BP25" s="19">
        <v>0</v>
      </c>
      <c r="BQ25" s="50">
        <f t="shared" si="364"/>
        <v>0</v>
      </c>
      <c r="BR25" s="49">
        <f t="shared" si="402"/>
        <v>0</v>
      </c>
      <c r="BS25" s="49">
        <f t="shared" si="403"/>
        <v>0</v>
      </c>
      <c r="BT25" s="49">
        <f t="shared" si="365"/>
        <v>0</v>
      </c>
      <c r="BU25" s="48">
        <f t="shared" si="366"/>
        <v>0</v>
      </c>
      <c r="BV25" s="48">
        <f t="shared" si="367"/>
        <v>0</v>
      </c>
      <c r="BW25" s="52">
        <v>0</v>
      </c>
      <c r="BX25" s="19">
        <v>0</v>
      </c>
      <c r="BY25" s="50">
        <f t="shared" si="368"/>
        <v>0</v>
      </c>
      <c r="BZ25" s="49">
        <f t="shared" si="404"/>
        <v>0</v>
      </c>
      <c r="CA25" s="49">
        <f t="shared" si="405"/>
        <v>0</v>
      </c>
      <c r="CB25" s="49">
        <f t="shared" si="369"/>
        <v>0</v>
      </c>
      <c r="CC25" s="48">
        <f t="shared" si="370"/>
        <v>0</v>
      </c>
      <c r="CD25" s="48">
        <f t="shared" si="371"/>
        <v>0</v>
      </c>
      <c r="CE25" s="52">
        <v>0</v>
      </c>
      <c r="CF25" s="19">
        <v>0</v>
      </c>
      <c r="CG25" s="50">
        <f t="shared" si="372"/>
        <v>0</v>
      </c>
      <c r="CH25" s="49">
        <f t="shared" si="406"/>
        <v>0</v>
      </c>
      <c r="CI25" s="49">
        <f t="shared" si="407"/>
        <v>0</v>
      </c>
      <c r="CJ25" s="49">
        <f t="shared" si="373"/>
        <v>0</v>
      </c>
      <c r="CK25" s="48">
        <f t="shared" si="374"/>
        <v>0</v>
      </c>
      <c r="CL25" s="48">
        <f t="shared" si="375"/>
        <v>0</v>
      </c>
      <c r="CM25" s="52">
        <v>0</v>
      </c>
      <c r="CN25" s="19">
        <v>0</v>
      </c>
      <c r="CO25" s="50">
        <f t="shared" si="376"/>
        <v>0</v>
      </c>
      <c r="CP25" s="49">
        <f t="shared" si="408"/>
        <v>0</v>
      </c>
      <c r="CQ25" s="49">
        <f t="shared" si="409"/>
        <v>0</v>
      </c>
      <c r="CR25" s="49">
        <f t="shared" si="377"/>
        <v>0</v>
      </c>
      <c r="CS25" s="48">
        <f t="shared" si="378"/>
        <v>0</v>
      </c>
      <c r="CT25" s="48">
        <f t="shared" si="379"/>
        <v>0</v>
      </c>
      <c r="CU25" s="52">
        <v>0</v>
      </c>
      <c r="CV25" s="19">
        <v>0</v>
      </c>
      <c r="CW25" s="50">
        <f t="shared" si="380"/>
        <v>0</v>
      </c>
      <c r="CX25" s="49">
        <f t="shared" si="410"/>
        <v>0</v>
      </c>
      <c r="CY25" s="49">
        <f t="shared" si="411"/>
        <v>0</v>
      </c>
      <c r="CZ25" s="49">
        <f t="shared" si="381"/>
        <v>0</v>
      </c>
      <c r="DA25" s="48">
        <f t="shared" si="382"/>
        <v>0</v>
      </c>
      <c r="DB25" s="48">
        <f t="shared" si="383"/>
        <v>0</v>
      </c>
      <c r="DC25" s="52">
        <v>0</v>
      </c>
      <c r="DD25" s="19">
        <v>0</v>
      </c>
      <c r="DE25" s="50">
        <v>0</v>
      </c>
      <c r="DF25" s="49">
        <f t="shared" si="412"/>
        <v>0</v>
      </c>
      <c r="DG25" s="49">
        <f t="shared" si="413"/>
        <v>0</v>
      </c>
      <c r="DH25" s="49">
        <f t="shared" si="384"/>
        <v>0</v>
      </c>
      <c r="DI25" s="48">
        <f t="shared" si="385"/>
        <v>0</v>
      </c>
      <c r="DJ25" s="48">
        <f t="shared" si="386"/>
        <v>0</v>
      </c>
      <c r="DK25" s="52">
        <v>0</v>
      </c>
      <c r="DL25" s="19">
        <v>0</v>
      </c>
      <c r="DM25" s="50">
        <f t="shared" si="387"/>
        <v>0</v>
      </c>
      <c r="DN25" s="49">
        <f t="shared" si="414"/>
        <v>0</v>
      </c>
      <c r="DO25" s="49">
        <f t="shared" si="415"/>
        <v>0</v>
      </c>
      <c r="DP25" s="49">
        <f t="shared" si="388"/>
        <v>0</v>
      </c>
      <c r="DQ25" s="48">
        <f t="shared" si="389"/>
        <v>0</v>
      </c>
      <c r="DR25" s="48">
        <f t="shared" si="390"/>
        <v>0</v>
      </c>
    </row>
    <row r="26" spans="1:122" ht="18" customHeight="1" x14ac:dyDescent="0.3">
      <c r="A26" s="108"/>
      <c r="B26" s="102"/>
      <c r="C26" s="131" t="s">
        <v>63</v>
      </c>
      <c r="D26" s="132" t="s">
        <v>77</v>
      </c>
      <c r="E26" s="20"/>
      <c r="F26" s="18" t="s">
        <v>14</v>
      </c>
      <c r="G26" s="70">
        <v>1</v>
      </c>
      <c r="H26" s="71">
        <v>1</v>
      </c>
      <c r="I26" s="71">
        <f t="shared" si="0"/>
        <v>0</v>
      </c>
      <c r="J26" s="59">
        <f t="shared" si="334"/>
        <v>0</v>
      </c>
      <c r="K26" s="52">
        <v>0</v>
      </c>
      <c r="L26" s="19">
        <v>0</v>
      </c>
      <c r="M26" s="50">
        <f t="shared" si="335"/>
        <v>0</v>
      </c>
      <c r="N26" s="49">
        <f t="shared" si="336"/>
        <v>0</v>
      </c>
      <c r="O26" s="49">
        <f t="shared" si="337"/>
        <v>0</v>
      </c>
      <c r="P26" s="49">
        <f t="shared" si="338"/>
        <v>0</v>
      </c>
      <c r="Q26" s="48">
        <f t="shared" si="339"/>
        <v>0</v>
      </c>
      <c r="R26" s="48">
        <f t="shared" si="340"/>
        <v>0</v>
      </c>
      <c r="S26" s="52">
        <v>0</v>
      </c>
      <c r="T26" s="19">
        <v>0</v>
      </c>
      <c r="U26" s="50">
        <f t="shared" si="341"/>
        <v>0</v>
      </c>
      <c r="V26" s="49">
        <f t="shared" si="391"/>
        <v>0</v>
      </c>
      <c r="W26" s="49">
        <f t="shared" si="392"/>
        <v>0</v>
      </c>
      <c r="X26" s="49">
        <f t="shared" si="342"/>
        <v>0</v>
      </c>
      <c r="Y26" s="48">
        <f t="shared" si="343"/>
        <v>0</v>
      </c>
      <c r="Z26" s="48">
        <f t="shared" si="344"/>
        <v>0</v>
      </c>
      <c r="AA26" s="52">
        <v>0</v>
      </c>
      <c r="AB26" s="19">
        <v>0</v>
      </c>
      <c r="AC26" s="50">
        <f t="shared" si="345"/>
        <v>0</v>
      </c>
      <c r="AD26" s="49">
        <f t="shared" si="393"/>
        <v>0</v>
      </c>
      <c r="AE26" s="49">
        <f t="shared" si="394"/>
        <v>0</v>
      </c>
      <c r="AF26" s="49">
        <f t="shared" si="346"/>
        <v>0</v>
      </c>
      <c r="AG26" s="48">
        <f t="shared" si="347"/>
        <v>0</v>
      </c>
      <c r="AH26" s="48">
        <f t="shared" si="348"/>
        <v>0</v>
      </c>
      <c r="AI26" s="52">
        <v>0</v>
      </c>
      <c r="AJ26" s="19">
        <v>0</v>
      </c>
      <c r="AK26" s="50">
        <f t="shared" si="349"/>
        <v>0</v>
      </c>
      <c r="AL26" s="49">
        <f t="shared" si="395"/>
        <v>0</v>
      </c>
      <c r="AM26" s="49">
        <f t="shared" si="396"/>
        <v>0</v>
      </c>
      <c r="AN26" s="49">
        <f t="shared" si="350"/>
        <v>0</v>
      </c>
      <c r="AO26" s="48">
        <f t="shared" si="351"/>
        <v>0</v>
      </c>
      <c r="AP26" s="48">
        <f t="shared" si="352"/>
        <v>0</v>
      </c>
      <c r="AQ26" s="52">
        <v>0</v>
      </c>
      <c r="AR26" s="19">
        <v>0</v>
      </c>
      <c r="AS26" s="50">
        <f t="shared" si="353"/>
        <v>0</v>
      </c>
      <c r="AT26" s="49">
        <f t="shared" si="397"/>
        <v>0</v>
      </c>
      <c r="AU26" s="49">
        <f t="shared" si="398"/>
        <v>0</v>
      </c>
      <c r="AV26" s="49">
        <f t="shared" si="354"/>
        <v>0</v>
      </c>
      <c r="AW26" s="48">
        <f t="shared" si="355"/>
        <v>0</v>
      </c>
      <c r="AX26" s="48">
        <f t="shared" si="356"/>
        <v>0</v>
      </c>
      <c r="AY26" s="52">
        <v>0</v>
      </c>
      <c r="AZ26" s="19">
        <v>0</v>
      </c>
      <c r="BA26" s="50">
        <f t="shared" si="357"/>
        <v>0</v>
      </c>
      <c r="BB26" s="49">
        <f t="shared" si="399"/>
        <v>0</v>
      </c>
      <c r="BC26" s="49">
        <f t="shared" si="400"/>
        <v>0</v>
      </c>
      <c r="BD26" s="49">
        <f t="shared" si="358"/>
        <v>0</v>
      </c>
      <c r="BE26" s="48">
        <f t="shared" si="359"/>
        <v>0</v>
      </c>
      <c r="BF26" s="48">
        <f t="shared" si="360"/>
        <v>0</v>
      </c>
      <c r="BG26" s="52">
        <v>0</v>
      </c>
      <c r="BH26" s="19">
        <v>0</v>
      </c>
      <c r="BI26" s="50">
        <f t="shared" si="361"/>
        <v>0</v>
      </c>
      <c r="BJ26" s="49">
        <f t="shared" si="401"/>
        <v>0</v>
      </c>
      <c r="BK26" s="46">
        <f t="shared" si="289"/>
        <v>0</v>
      </c>
      <c r="BL26" s="46">
        <f t="shared" si="290"/>
        <v>0</v>
      </c>
      <c r="BM26" s="48">
        <f t="shared" si="362"/>
        <v>0</v>
      </c>
      <c r="BN26" s="48">
        <f t="shared" si="363"/>
        <v>0</v>
      </c>
      <c r="BO26" s="52">
        <v>0</v>
      </c>
      <c r="BP26" s="19">
        <v>0</v>
      </c>
      <c r="BQ26" s="50">
        <f t="shared" si="364"/>
        <v>0</v>
      </c>
      <c r="BR26" s="49">
        <f t="shared" si="402"/>
        <v>0</v>
      </c>
      <c r="BS26" s="49">
        <f t="shared" si="403"/>
        <v>0</v>
      </c>
      <c r="BT26" s="49">
        <f t="shared" si="365"/>
        <v>0</v>
      </c>
      <c r="BU26" s="48">
        <f t="shared" si="366"/>
        <v>0</v>
      </c>
      <c r="BV26" s="48">
        <f t="shared" si="367"/>
        <v>0</v>
      </c>
      <c r="BW26" s="52">
        <v>0</v>
      </c>
      <c r="BX26" s="19">
        <v>0</v>
      </c>
      <c r="BY26" s="50">
        <f t="shared" si="368"/>
        <v>0</v>
      </c>
      <c r="BZ26" s="49">
        <f t="shared" si="404"/>
        <v>0</v>
      </c>
      <c r="CA26" s="49">
        <f t="shared" si="405"/>
        <v>0</v>
      </c>
      <c r="CB26" s="49">
        <f t="shared" si="369"/>
        <v>0</v>
      </c>
      <c r="CC26" s="48">
        <f t="shared" si="370"/>
        <v>0</v>
      </c>
      <c r="CD26" s="48">
        <f t="shared" si="371"/>
        <v>0</v>
      </c>
      <c r="CE26" s="52">
        <v>0</v>
      </c>
      <c r="CF26" s="19">
        <v>0</v>
      </c>
      <c r="CG26" s="50">
        <f t="shared" si="372"/>
        <v>0</v>
      </c>
      <c r="CH26" s="49">
        <f t="shared" si="406"/>
        <v>0</v>
      </c>
      <c r="CI26" s="49">
        <f t="shared" si="407"/>
        <v>0</v>
      </c>
      <c r="CJ26" s="49">
        <f t="shared" si="373"/>
        <v>0</v>
      </c>
      <c r="CK26" s="48">
        <f t="shared" si="374"/>
        <v>0</v>
      </c>
      <c r="CL26" s="48">
        <f t="shared" si="375"/>
        <v>0</v>
      </c>
      <c r="CM26" s="52">
        <v>0</v>
      </c>
      <c r="CN26" s="19">
        <v>0</v>
      </c>
      <c r="CO26" s="50">
        <f t="shared" si="376"/>
        <v>0</v>
      </c>
      <c r="CP26" s="49">
        <f t="shared" si="408"/>
        <v>0</v>
      </c>
      <c r="CQ26" s="49">
        <f t="shared" si="409"/>
        <v>0</v>
      </c>
      <c r="CR26" s="49">
        <f t="shared" si="377"/>
        <v>0</v>
      </c>
      <c r="CS26" s="48">
        <f t="shared" si="378"/>
        <v>0</v>
      </c>
      <c r="CT26" s="48">
        <f t="shared" si="379"/>
        <v>0</v>
      </c>
      <c r="CU26" s="52">
        <v>0</v>
      </c>
      <c r="CV26" s="19">
        <v>0</v>
      </c>
      <c r="CW26" s="50">
        <f t="shared" si="380"/>
        <v>0</v>
      </c>
      <c r="CX26" s="49">
        <f t="shared" si="410"/>
        <v>0</v>
      </c>
      <c r="CY26" s="49">
        <f t="shared" si="411"/>
        <v>0</v>
      </c>
      <c r="CZ26" s="49">
        <f t="shared" si="381"/>
        <v>0</v>
      </c>
      <c r="DA26" s="48">
        <f t="shared" si="382"/>
        <v>0</v>
      </c>
      <c r="DB26" s="48">
        <f t="shared" si="383"/>
        <v>0</v>
      </c>
      <c r="DC26" s="52">
        <v>0</v>
      </c>
      <c r="DD26" s="19">
        <v>0</v>
      </c>
      <c r="DE26" s="50">
        <v>0</v>
      </c>
      <c r="DF26" s="49">
        <f t="shared" si="412"/>
        <v>0</v>
      </c>
      <c r="DG26" s="49">
        <f t="shared" si="413"/>
        <v>0</v>
      </c>
      <c r="DH26" s="49">
        <f t="shared" si="384"/>
        <v>0</v>
      </c>
      <c r="DI26" s="48">
        <f t="shared" si="385"/>
        <v>0</v>
      </c>
      <c r="DJ26" s="48">
        <f t="shared" si="386"/>
        <v>0</v>
      </c>
      <c r="DK26" s="52">
        <v>0</v>
      </c>
      <c r="DL26" s="19">
        <v>0</v>
      </c>
      <c r="DM26" s="50">
        <f t="shared" si="387"/>
        <v>0</v>
      </c>
      <c r="DN26" s="49">
        <f t="shared" si="414"/>
        <v>0</v>
      </c>
      <c r="DO26" s="49">
        <f t="shared" si="415"/>
        <v>0</v>
      </c>
      <c r="DP26" s="49">
        <f t="shared" si="388"/>
        <v>0</v>
      </c>
      <c r="DQ26" s="48">
        <f t="shared" si="389"/>
        <v>0</v>
      </c>
      <c r="DR26" s="48">
        <f t="shared" si="390"/>
        <v>0</v>
      </c>
    </row>
    <row r="27" spans="1:122" ht="18" customHeight="1" x14ac:dyDescent="0.3">
      <c r="A27" s="108"/>
      <c r="B27" s="102"/>
      <c r="C27" s="131"/>
      <c r="D27" s="132"/>
      <c r="E27" s="20"/>
      <c r="F27" s="18" t="s">
        <v>16</v>
      </c>
      <c r="G27" s="70">
        <v>1</v>
      </c>
      <c r="H27" s="71">
        <v>1</v>
      </c>
      <c r="I27" s="71">
        <f t="shared" si="0"/>
        <v>0</v>
      </c>
      <c r="J27" s="59">
        <f t="shared" si="334"/>
        <v>0</v>
      </c>
      <c r="K27" s="52">
        <v>0</v>
      </c>
      <c r="L27" s="19">
        <v>0</v>
      </c>
      <c r="M27" s="50">
        <f t="shared" si="335"/>
        <v>0</v>
      </c>
      <c r="N27" s="49">
        <f t="shared" si="336"/>
        <v>0</v>
      </c>
      <c r="O27" s="49">
        <f t="shared" si="337"/>
        <v>0</v>
      </c>
      <c r="P27" s="49">
        <f t="shared" si="338"/>
        <v>0</v>
      </c>
      <c r="Q27" s="48">
        <f t="shared" si="339"/>
        <v>0</v>
      </c>
      <c r="R27" s="48">
        <f t="shared" si="340"/>
        <v>0</v>
      </c>
      <c r="S27" s="52">
        <v>0</v>
      </c>
      <c r="T27" s="19">
        <v>0</v>
      </c>
      <c r="U27" s="50">
        <f t="shared" si="341"/>
        <v>0</v>
      </c>
      <c r="V27" s="49">
        <f t="shared" si="391"/>
        <v>0</v>
      </c>
      <c r="W27" s="49">
        <f t="shared" si="392"/>
        <v>0</v>
      </c>
      <c r="X27" s="49">
        <f t="shared" si="342"/>
        <v>0</v>
      </c>
      <c r="Y27" s="48">
        <f t="shared" si="343"/>
        <v>0</v>
      </c>
      <c r="Z27" s="48">
        <f t="shared" si="344"/>
        <v>0</v>
      </c>
      <c r="AA27" s="52">
        <v>0</v>
      </c>
      <c r="AB27" s="19">
        <v>0</v>
      </c>
      <c r="AC27" s="50">
        <f t="shared" si="345"/>
        <v>0</v>
      </c>
      <c r="AD27" s="49">
        <f t="shared" si="393"/>
        <v>0</v>
      </c>
      <c r="AE27" s="49">
        <f t="shared" si="394"/>
        <v>0</v>
      </c>
      <c r="AF27" s="49">
        <f t="shared" si="346"/>
        <v>0</v>
      </c>
      <c r="AG27" s="48">
        <f t="shared" si="347"/>
        <v>0</v>
      </c>
      <c r="AH27" s="48">
        <f t="shared" si="348"/>
        <v>0</v>
      </c>
      <c r="AI27" s="52">
        <v>0</v>
      </c>
      <c r="AJ27" s="19">
        <v>0</v>
      </c>
      <c r="AK27" s="50">
        <f t="shared" si="349"/>
        <v>0</v>
      </c>
      <c r="AL27" s="49">
        <f t="shared" si="395"/>
        <v>0</v>
      </c>
      <c r="AM27" s="49">
        <f t="shared" si="396"/>
        <v>0</v>
      </c>
      <c r="AN27" s="49">
        <f t="shared" si="350"/>
        <v>0</v>
      </c>
      <c r="AO27" s="48">
        <f t="shared" si="351"/>
        <v>0</v>
      </c>
      <c r="AP27" s="48">
        <f t="shared" si="352"/>
        <v>0</v>
      </c>
      <c r="AQ27" s="52">
        <v>0</v>
      </c>
      <c r="AR27" s="19">
        <v>0</v>
      </c>
      <c r="AS27" s="50">
        <f t="shared" si="353"/>
        <v>0</v>
      </c>
      <c r="AT27" s="49">
        <f t="shared" si="397"/>
        <v>0</v>
      </c>
      <c r="AU27" s="49">
        <f t="shared" si="398"/>
        <v>0</v>
      </c>
      <c r="AV27" s="49">
        <f t="shared" si="354"/>
        <v>0</v>
      </c>
      <c r="AW27" s="48">
        <f t="shared" si="355"/>
        <v>0</v>
      </c>
      <c r="AX27" s="48">
        <f t="shared" si="356"/>
        <v>0</v>
      </c>
      <c r="AY27" s="52">
        <v>0</v>
      </c>
      <c r="AZ27" s="19">
        <v>0</v>
      </c>
      <c r="BA27" s="50">
        <f t="shared" si="357"/>
        <v>0</v>
      </c>
      <c r="BB27" s="49">
        <f t="shared" si="399"/>
        <v>0</v>
      </c>
      <c r="BC27" s="49">
        <f t="shared" si="400"/>
        <v>0</v>
      </c>
      <c r="BD27" s="49">
        <f t="shared" si="358"/>
        <v>0</v>
      </c>
      <c r="BE27" s="48">
        <f t="shared" si="359"/>
        <v>0</v>
      </c>
      <c r="BF27" s="48">
        <f t="shared" si="360"/>
        <v>0</v>
      </c>
      <c r="BG27" s="52">
        <v>0</v>
      </c>
      <c r="BH27" s="19">
        <v>0</v>
      </c>
      <c r="BI27" s="50">
        <f t="shared" si="361"/>
        <v>0</v>
      </c>
      <c r="BJ27" s="49">
        <f t="shared" si="401"/>
        <v>0</v>
      </c>
      <c r="BK27" s="49">
        <f t="shared" ref="BK27:BK37" si="416">BC27+BH27</f>
        <v>0</v>
      </c>
      <c r="BL27" s="46">
        <f t="shared" si="290"/>
        <v>0</v>
      </c>
      <c r="BM27" s="48">
        <f t="shared" si="362"/>
        <v>0</v>
      </c>
      <c r="BN27" s="48">
        <f t="shared" si="363"/>
        <v>0</v>
      </c>
      <c r="BO27" s="52">
        <v>0</v>
      </c>
      <c r="BP27" s="19">
        <v>0</v>
      </c>
      <c r="BQ27" s="50">
        <f t="shared" si="364"/>
        <v>0</v>
      </c>
      <c r="BR27" s="49">
        <f t="shared" si="402"/>
        <v>0</v>
      </c>
      <c r="BS27" s="49">
        <f t="shared" si="403"/>
        <v>0</v>
      </c>
      <c r="BT27" s="49">
        <f t="shared" si="365"/>
        <v>0</v>
      </c>
      <c r="BU27" s="48">
        <f t="shared" si="366"/>
        <v>0</v>
      </c>
      <c r="BV27" s="48">
        <f t="shared" si="367"/>
        <v>0</v>
      </c>
      <c r="BW27" s="52">
        <v>0</v>
      </c>
      <c r="BX27" s="19">
        <v>0</v>
      </c>
      <c r="BY27" s="50">
        <f t="shared" si="368"/>
        <v>0</v>
      </c>
      <c r="BZ27" s="49">
        <f t="shared" si="404"/>
        <v>0</v>
      </c>
      <c r="CA27" s="49">
        <f t="shared" si="405"/>
        <v>0</v>
      </c>
      <c r="CB27" s="49">
        <f t="shared" si="369"/>
        <v>0</v>
      </c>
      <c r="CC27" s="48">
        <f t="shared" si="370"/>
        <v>0</v>
      </c>
      <c r="CD27" s="48">
        <f t="shared" si="371"/>
        <v>0</v>
      </c>
      <c r="CE27" s="52">
        <v>0</v>
      </c>
      <c r="CF27" s="19">
        <v>0</v>
      </c>
      <c r="CG27" s="50">
        <f t="shared" si="372"/>
        <v>0</v>
      </c>
      <c r="CH27" s="49">
        <f t="shared" si="406"/>
        <v>0</v>
      </c>
      <c r="CI27" s="49">
        <f t="shared" si="407"/>
        <v>0</v>
      </c>
      <c r="CJ27" s="49">
        <f t="shared" si="373"/>
        <v>0</v>
      </c>
      <c r="CK27" s="48">
        <f t="shared" si="374"/>
        <v>0</v>
      </c>
      <c r="CL27" s="48">
        <f t="shared" si="375"/>
        <v>0</v>
      </c>
      <c r="CM27" s="52">
        <v>0</v>
      </c>
      <c r="CN27" s="19">
        <v>0</v>
      </c>
      <c r="CO27" s="50">
        <f t="shared" si="376"/>
        <v>0</v>
      </c>
      <c r="CP27" s="49">
        <f t="shared" si="408"/>
        <v>0</v>
      </c>
      <c r="CQ27" s="49">
        <f t="shared" si="409"/>
        <v>0</v>
      </c>
      <c r="CR27" s="49">
        <f t="shared" si="377"/>
        <v>0</v>
      </c>
      <c r="CS27" s="48">
        <f t="shared" si="378"/>
        <v>0</v>
      </c>
      <c r="CT27" s="48">
        <f t="shared" si="379"/>
        <v>0</v>
      </c>
      <c r="CU27" s="52">
        <v>0</v>
      </c>
      <c r="CV27" s="19">
        <v>0</v>
      </c>
      <c r="CW27" s="50">
        <f t="shared" si="380"/>
        <v>0</v>
      </c>
      <c r="CX27" s="49">
        <f t="shared" si="410"/>
        <v>0</v>
      </c>
      <c r="CY27" s="49">
        <f t="shared" si="411"/>
        <v>0</v>
      </c>
      <c r="CZ27" s="49">
        <f t="shared" si="381"/>
        <v>0</v>
      </c>
      <c r="DA27" s="48">
        <f t="shared" si="382"/>
        <v>0</v>
      </c>
      <c r="DB27" s="48">
        <f t="shared" si="383"/>
        <v>0</v>
      </c>
      <c r="DC27" s="52">
        <v>0</v>
      </c>
      <c r="DD27" s="19">
        <v>0</v>
      </c>
      <c r="DE27" s="50">
        <v>0</v>
      </c>
      <c r="DF27" s="49">
        <f t="shared" si="412"/>
        <v>0</v>
      </c>
      <c r="DG27" s="49">
        <f t="shared" si="413"/>
        <v>0</v>
      </c>
      <c r="DH27" s="49">
        <f t="shared" si="384"/>
        <v>0</v>
      </c>
      <c r="DI27" s="48">
        <f t="shared" si="385"/>
        <v>0</v>
      </c>
      <c r="DJ27" s="48">
        <f t="shared" si="386"/>
        <v>0</v>
      </c>
      <c r="DK27" s="52">
        <v>0</v>
      </c>
      <c r="DL27" s="19">
        <v>0</v>
      </c>
      <c r="DM27" s="50">
        <f t="shared" si="387"/>
        <v>0</v>
      </c>
      <c r="DN27" s="49">
        <f t="shared" si="414"/>
        <v>0</v>
      </c>
      <c r="DO27" s="49">
        <f t="shared" si="415"/>
        <v>0</v>
      </c>
      <c r="DP27" s="49">
        <f t="shared" si="388"/>
        <v>0</v>
      </c>
      <c r="DQ27" s="48">
        <f t="shared" si="389"/>
        <v>0</v>
      </c>
      <c r="DR27" s="48">
        <f t="shared" si="390"/>
        <v>0</v>
      </c>
    </row>
    <row r="28" spans="1:122" ht="18" customHeight="1" x14ac:dyDescent="0.3">
      <c r="A28" s="108"/>
      <c r="B28" s="103"/>
      <c r="C28" s="131"/>
      <c r="D28" s="132"/>
      <c r="E28" s="20"/>
      <c r="F28" s="18" t="s">
        <v>15</v>
      </c>
      <c r="G28" s="70">
        <v>1</v>
      </c>
      <c r="H28" s="71">
        <v>1</v>
      </c>
      <c r="I28" s="71">
        <f t="shared" si="0"/>
        <v>0</v>
      </c>
      <c r="J28" s="59">
        <f t="shared" si="334"/>
        <v>0</v>
      </c>
      <c r="K28" s="52">
        <v>0</v>
      </c>
      <c r="L28" s="19">
        <v>0</v>
      </c>
      <c r="M28" s="50">
        <f t="shared" si="335"/>
        <v>0</v>
      </c>
      <c r="N28" s="49">
        <f t="shared" si="336"/>
        <v>0</v>
      </c>
      <c r="O28" s="49">
        <f t="shared" si="337"/>
        <v>0</v>
      </c>
      <c r="P28" s="49">
        <f t="shared" si="338"/>
        <v>0</v>
      </c>
      <c r="Q28" s="48">
        <f t="shared" si="339"/>
        <v>0</v>
      </c>
      <c r="R28" s="48">
        <f t="shared" si="340"/>
        <v>0</v>
      </c>
      <c r="S28" s="52">
        <v>0</v>
      </c>
      <c r="T28" s="19">
        <v>0</v>
      </c>
      <c r="U28" s="50">
        <f t="shared" si="341"/>
        <v>0</v>
      </c>
      <c r="V28" s="49">
        <f t="shared" si="391"/>
        <v>0</v>
      </c>
      <c r="W28" s="49">
        <f t="shared" si="392"/>
        <v>0</v>
      </c>
      <c r="X28" s="49">
        <f t="shared" si="342"/>
        <v>0</v>
      </c>
      <c r="Y28" s="48">
        <f t="shared" si="343"/>
        <v>0</v>
      </c>
      <c r="Z28" s="48">
        <f t="shared" si="344"/>
        <v>0</v>
      </c>
      <c r="AA28" s="52">
        <v>0</v>
      </c>
      <c r="AB28" s="19">
        <v>0</v>
      </c>
      <c r="AC28" s="50">
        <f t="shared" si="345"/>
        <v>0</v>
      </c>
      <c r="AD28" s="49">
        <f t="shared" si="393"/>
        <v>0</v>
      </c>
      <c r="AE28" s="49">
        <f t="shared" si="394"/>
        <v>0</v>
      </c>
      <c r="AF28" s="49">
        <f t="shared" si="346"/>
        <v>0</v>
      </c>
      <c r="AG28" s="48">
        <f t="shared" si="347"/>
        <v>0</v>
      </c>
      <c r="AH28" s="48">
        <f t="shared" si="348"/>
        <v>0</v>
      </c>
      <c r="AI28" s="52">
        <v>0</v>
      </c>
      <c r="AJ28" s="19">
        <v>0</v>
      </c>
      <c r="AK28" s="50">
        <f t="shared" si="349"/>
        <v>0</v>
      </c>
      <c r="AL28" s="49">
        <f t="shared" si="395"/>
        <v>0</v>
      </c>
      <c r="AM28" s="49">
        <f t="shared" si="396"/>
        <v>0</v>
      </c>
      <c r="AN28" s="49">
        <f t="shared" si="350"/>
        <v>0</v>
      </c>
      <c r="AO28" s="48">
        <f t="shared" si="351"/>
        <v>0</v>
      </c>
      <c r="AP28" s="48">
        <f t="shared" si="352"/>
        <v>0</v>
      </c>
      <c r="AQ28" s="52">
        <v>0</v>
      </c>
      <c r="AR28" s="19">
        <v>0</v>
      </c>
      <c r="AS28" s="50">
        <f t="shared" si="353"/>
        <v>0</v>
      </c>
      <c r="AT28" s="49">
        <f t="shared" si="397"/>
        <v>0</v>
      </c>
      <c r="AU28" s="49">
        <f t="shared" si="398"/>
        <v>0</v>
      </c>
      <c r="AV28" s="49">
        <f t="shared" si="354"/>
        <v>0</v>
      </c>
      <c r="AW28" s="48">
        <f t="shared" si="355"/>
        <v>0</v>
      </c>
      <c r="AX28" s="48">
        <f t="shared" si="356"/>
        <v>0</v>
      </c>
      <c r="AY28" s="52">
        <v>0</v>
      </c>
      <c r="AZ28" s="19">
        <v>0</v>
      </c>
      <c r="BA28" s="50">
        <f t="shared" si="357"/>
        <v>0</v>
      </c>
      <c r="BB28" s="49">
        <f t="shared" si="399"/>
        <v>0</v>
      </c>
      <c r="BC28" s="49">
        <f t="shared" si="400"/>
        <v>0</v>
      </c>
      <c r="BD28" s="49">
        <f t="shared" si="358"/>
        <v>0</v>
      </c>
      <c r="BE28" s="48">
        <f t="shared" si="359"/>
        <v>0</v>
      </c>
      <c r="BF28" s="48">
        <f t="shared" si="360"/>
        <v>0</v>
      </c>
      <c r="BG28" s="52">
        <v>0</v>
      </c>
      <c r="BH28" s="19">
        <v>0</v>
      </c>
      <c r="BI28" s="50">
        <f t="shared" si="361"/>
        <v>0</v>
      </c>
      <c r="BJ28" s="49">
        <f t="shared" si="401"/>
        <v>0</v>
      </c>
      <c r="BK28" s="49">
        <f t="shared" si="416"/>
        <v>0</v>
      </c>
      <c r="BL28" s="46">
        <f t="shared" si="290"/>
        <v>0</v>
      </c>
      <c r="BM28" s="48">
        <f t="shared" si="362"/>
        <v>0</v>
      </c>
      <c r="BN28" s="48">
        <f t="shared" si="363"/>
        <v>0</v>
      </c>
      <c r="BO28" s="52">
        <v>0</v>
      </c>
      <c r="BP28" s="19">
        <v>0</v>
      </c>
      <c r="BQ28" s="50">
        <f t="shared" si="364"/>
        <v>0</v>
      </c>
      <c r="BR28" s="49">
        <f t="shared" si="402"/>
        <v>0</v>
      </c>
      <c r="BS28" s="49">
        <f t="shared" si="403"/>
        <v>0</v>
      </c>
      <c r="BT28" s="49">
        <f t="shared" si="365"/>
        <v>0</v>
      </c>
      <c r="BU28" s="48">
        <f t="shared" si="366"/>
        <v>0</v>
      </c>
      <c r="BV28" s="48">
        <f t="shared" si="367"/>
        <v>0</v>
      </c>
      <c r="BW28" s="52">
        <v>0</v>
      </c>
      <c r="BX28" s="19">
        <v>0</v>
      </c>
      <c r="BY28" s="50">
        <f t="shared" si="368"/>
        <v>0</v>
      </c>
      <c r="BZ28" s="49">
        <f t="shared" si="404"/>
        <v>0</v>
      </c>
      <c r="CA28" s="49">
        <f t="shared" si="405"/>
        <v>0</v>
      </c>
      <c r="CB28" s="49">
        <f t="shared" si="369"/>
        <v>0</v>
      </c>
      <c r="CC28" s="48">
        <f t="shared" si="370"/>
        <v>0</v>
      </c>
      <c r="CD28" s="48">
        <f t="shared" si="371"/>
        <v>0</v>
      </c>
      <c r="CE28" s="52">
        <v>0</v>
      </c>
      <c r="CF28" s="19">
        <v>0</v>
      </c>
      <c r="CG28" s="50">
        <f t="shared" si="372"/>
        <v>0</v>
      </c>
      <c r="CH28" s="49">
        <f t="shared" si="406"/>
        <v>0</v>
      </c>
      <c r="CI28" s="49">
        <f t="shared" si="407"/>
        <v>0</v>
      </c>
      <c r="CJ28" s="49">
        <f t="shared" si="373"/>
        <v>0</v>
      </c>
      <c r="CK28" s="48">
        <f t="shared" si="374"/>
        <v>0</v>
      </c>
      <c r="CL28" s="48">
        <f t="shared" si="375"/>
        <v>0</v>
      </c>
      <c r="CM28" s="52">
        <v>0</v>
      </c>
      <c r="CN28" s="19">
        <v>0</v>
      </c>
      <c r="CO28" s="50">
        <f t="shared" si="376"/>
        <v>0</v>
      </c>
      <c r="CP28" s="49">
        <f t="shared" si="408"/>
        <v>0</v>
      </c>
      <c r="CQ28" s="49">
        <f t="shared" si="409"/>
        <v>0</v>
      </c>
      <c r="CR28" s="49">
        <f t="shared" si="377"/>
        <v>0</v>
      </c>
      <c r="CS28" s="48">
        <f t="shared" si="378"/>
        <v>0</v>
      </c>
      <c r="CT28" s="48">
        <f t="shared" si="379"/>
        <v>0</v>
      </c>
      <c r="CU28" s="52">
        <v>0</v>
      </c>
      <c r="CV28" s="19">
        <v>0</v>
      </c>
      <c r="CW28" s="50">
        <f t="shared" si="380"/>
        <v>0</v>
      </c>
      <c r="CX28" s="49">
        <f t="shared" si="410"/>
        <v>0</v>
      </c>
      <c r="CY28" s="49">
        <f t="shared" si="411"/>
        <v>0</v>
      </c>
      <c r="CZ28" s="49">
        <f t="shared" si="381"/>
        <v>0</v>
      </c>
      <c r="DA28" s="48">
        <f t="shared" si="382"/>
        <v>0</v>
      </c>
      <c r="DB28" s="48">
        <f t="shared" si="383"/>
        <v>0</v>
      </c>
      <c r="DC28" s="52">
        <v>0</v>
      </c>
      <c r="DD28" s="19">
        <v>0</v>
      </c>
      <c r="DE28" s="50">
        <v>0</v>
      </c>
      <c r="DF28" s="49">
        <f t="shared" si="412"/>
        <v>0</v>
      </c>
      <c r="DG28" s="49">
        <f t="shared" si="413"/>
        <v>0</v>
      </c>
      <c r="DH28" s="49">
        <f t="shared" si="384"/>
        <v>0</v>
      </c>
      <c r="DI28" s="48">
        <f t="shared" si="385"/>
        <v>0</v>
      </c>
      <c r="DJ28" s="48">
        <f t="shared" si="386"/>
        <v>0</v>
      </c>
      <c r="DK28" s="52">
        <v>0</v>
      </c>
      <c r="DL28" s="19">
        <v>0</v>
      </c>
      <c r="DM28" s="50">
        <f t="shared" si="387"/>
        <v>0</v>
      </c>
      <c r="DN28" s="49">
        <f t="shared" si="414"/>
        <v>0</v>
      </c>
      <c r="DO28" s="49">
        <f t="shared" si="415"/>
        <v>0</v>
      </c>
      <c r="DP28" s="49">
        <f t="shared" si="388"/>
        <v>0</v>
      </c>
      <c r="DQ28" s="48">
        <f t="shared" si="389"/>
        <v>0</v>
      </c>
      <c r="DR28" s="48">
        <f t="shared" si="390"/>
        <v>0</v>
      </c>
    </row>
    <row r="29" spans="1:122" ht="18" customHeight="1" x14ac:dyDescent="0.3">
      <c r="A29" s="108"/>
      <c r="B29" s="104" t="s">
        <v>55</v>
      </c>
      <c r="C29" s="134" t="s">
        <v>78</v>
      </c>
      <c r="D29" s="133" t="s">
        <v>79</v>
      </c>
      <c r="E29" s="21"/>
      <c r="F29" s="18" t="s">
        <v>66</v>
      </c>
      <c r="G29" s="70">
        <v>1</v>
      </c>
      <c r="H29" s="71">
        <v>1</v>
      </c>
      <c r="I29" s="71">
        <f t="shared" si="0"/>
        <v>0</v>
      </c>
      <c r="J29" s="58">
        <f t="shared" si="334"/>
        <v>0</v>
      </c>
      <c r="K29" s="52">
        <v>0</v>
      </c>
      <c r="L29" s="19">
        <v>0</v>
      </c>
      <c r="M29" s="47">
        <f t="shared" si="335"/>
        <v>0</v>
      </c>
      <c r="N29" s="46">
        <f t="shared" si="336"/>
        <v>0</v>
      </c>
      <c r="O29" s="46">
        <f t="shared" si="337"/>
        <v>0</v>
      </c>
      <c r="P29" s="46">
        <f t="shared" si="338"/>
        <v>0</v>
      </c>
      <c r="Q29" s="45">
        <f t="shared" si="339"/>
        <v>0</v>
      </c>
      <c r="R29" s="45">
        <f t="shared" si="340"/>
        <v>0</v>
      </c>
      <c r="S29" s="52">
        <v>0</v>
      </c>
      <c r="T29" s="19">
        <v>0</v>
      </c>
      <c r="U29" s="47">
        <f t="shared" si="341"/>
        <v>0</v>
      </c>
      <c r="V29" s="46">
        <f t="shared" si="391"/>
        <v>0</v>
      </c>
      <c r="W29" s="46">
        <f t="shared" si="392"/>
        <v>0</v>
      </c>
      <c r="X29" s="46">
        <f t="shared" si="342"/>
        <v>0</v>
      </c>
      <c r="Y29" s="45">
        <f t="shared" si="343"/>
        <v>0</v>
      </c>
      <c r="Z29" s="45">
        <f t="shared" si="344"/>
        <v>0</v>
      </c>
      <c r="AA29" s="52">
        <v>0</v>
      </c>
      <c r="AB29" s="19">
        <v>0</v>
      </c>
      <c r="AC29" s="47">
        <f t="shared" si="345"/>
        <v>0</v>
      </c>
      <c r="AD29" s="46">
        <f t="shared" si="393"/>
        <v>0</v>
      </c>
      <c r="AE29" s="46">
        <f t="shared" si="394"/>
        <v>0</v>
      </c>
      <c r="AF29" s="46">
        <f t="shared" si="346"/>
        <v>0</v>
      </c>
      <c r="AG29" s="45">
        <f t="shared" si="347"/>
        <v>0</v>
      </c>
      <c r="AH29" s="45">
        <f t="shared" si="348"/>
        <v>0</v>
      </c>
      <c r="AI29" s="52">
        <v>0</v>
      </c>
      <c r="AJ29" s="19">
        <v>0</v>
      </c>
      <c r="AK29" s="47">
        <f t="shared" si="349"/>
        <v>0</v>
      </c>
      <c r="AL29" s="46">
        <f t="shared" si="395"/>
        <v>0</v>
      </c>
      <c r="AM29" s="46">
        <f t="shared" si="396"/>
        <v>0</v>
      </c>
      <c r="AN29" s="46">
        <f t="shared" si="350"/>
        <v>0</v>
      </c>
      <c r="AO29" s="45">
        <f t="shared" si="351"/>
        <v>0</v>
      </c>
      <c r="AP29" s="45">
        <f t="shared" si="352"/>
        <v>0</v>
      </c>
      <c r="AQ29" s="52">
        <v>0</v>
      </c>
      <c r="AR29" s="19">
        <v>0</v>
      </c>
      <c r="AS29" s="47">
        <f t="shared" si="353"/>
        <v>0</v>
      </c>
      <c r="AT29" s="46">
        <f t="shared" si="397"/>
        <v>0</v>
      </c>
      <c r="AU29" s="46">
        <f t="shared" si="398"/>
        <v>0</v>
      </c>
      <c r="AV29" s="46">
        <f t="shared" si="354"/>
        <v>0</v>
      </c>
      <c r="AW29" s="45">
        <f t="shared" si="355"/>
        <v>0</v>
      </c>
      <c r="AX29" s="45">
        <f t="shared" si="356"/>
        <v>0</v>
      </c>
      <c r="AY29" s="52">
        <v>0</v>
      </c>
      <c r="AZ29" s="19">
        <v>0</v>
      </c>
      <c r="BA29" s="47">
        <f t="shared" si="357"/>
        <v>0</v>
      </c>
      <c r="BB29" s="46">
        <f t="shared" si="399"/>
        <v>0</v>
      </c>
      <c r="BC29" s="46">
        <f t="shared" si="400"/>
        <v>0</v>
      </c>
      <c r="BD29" s="46">
        <f t="shared" si="358"/>
        <v>0</v>
      </c>
      <c r="BE29" s="45">
        <f t="shared" si="359"/>
        <v>0</v>
      </c>
      <c r="BF29" s="45">
        <f t="shared" si="360"/>
        <v>0</v>
      </c>
      <c r="BG29" s="52">
        <v>0</v>
      </c>
      <c r="BH29" s="19">
        <v>0</v>
      </c>
      <c r="BI29" s="47">
        <f t="shared" si="361"/>
        <v>0</v>
      </c>
      <c r="BJ29" s="46">
        <f t="shared" si="401"/>
        <v>0</v>
      </c>
      <c r="BK29" s="46">
        <f t="shared" si="416"/>
        <v>0</v>
      </c>
      <c r="BL29" s="46">
        <f t="shared" ref="BL29:BL37" si="417">BK29-BJ29</f>
        <v>0</v>
      </c>
      <c r="BM29" s="45">
        <f t="shared" si="362"/>
        <v>0</v>
      </c>
      <c r="BN29" s="45">
        <f t="shared" si="363"/>
        <v>0</v>
      </c>
      <c r="BO29" s="52">
        <v>0</v>
      </c>
      <c r="BP29" s="19">
        <v>0</v>
      </c>
      <c r="BQ29" s="47">
        <f t="shared" si="364"/>
        <v>0</v>
      </c>
      <c r="BR29" s="46">
        <f t="shared" si="402"/>
        <v>0</v>
      </c>
      <c r="BS29" s="46">
        <f t="shared" si="403"/>
        <v>0</v>
      </c>
      <c r="BT29" s="46">
        <f t="shared" si="365"/>
        <v>0</v>
      </c>
      <c r="BU29" s="45">
        <f t="shared" si="366"/>
        <v>0</v>
      </c>
      <c r="BV29" s="45">
        <f t="shared" si="367"/>
        <v>0</v>
      </c>
      <c r="BW29" s="52">
        <v>0</v>
      </c>
      <c r="BX29" s="19">
        <v>0</v>
      </c>
      <c r="BY29" s="47">
        <f t="shared" si="368"/>
        <v>0</v>
      </c>
      <c r="BZ29" s="46">
        <f t="shared" si="404"/>
        <v>0</v>
      </c>
      <c r="CA29" s="46">
        <f t="shared" si="405"/>
        <v>0</v>
      </c>
      <c r="CB29" s="46">
        <f t="shared" si="369"/>
        <v>0</v>
      </c>
      <c r="CC29" s="45">
        <f t="shared" si="370"/>
        <v>0</v>
      </c>
      <c r="CD29" s="45">
        <f t="shared" si="371"/>
        <v>0</v>
      </c>
      <c r="CE29" s="52">
        <v>0</v>
      </c>
      <c r="CF29" s="19">
        <v>0</v>
      </c>
      <c r="CG29" s="47">
        <f t="shared" si="372"/>
        <v>0</v>
      </c>
      <c r="CH29" s="46">
        <f t="shared" si="406"/>
        <v>0</v>
      </c>
      <c r="CI29" s="46">
        <f t="shared" si="407"/>
        <v>0</v>
      </c>
      <c r="CJ29" s="46">
        <f t="shared" si="373"/>
        <v>0</v>
      </c>
      <c r="CK29" s="45">
        <f t="shared" si="374"/>
        <v>0</v>
      </c>
      <c r="CL29" s="45">
        <f t="shared" si="375"/>
        <v>0</v>
      </c>
      <c r="CM29" s="52">
        <v>0</v>
      </c>
      <c r="CN29" s="19">
        <v>0</v>
      </c>
      <c r="CO29" s="47">
        <f t="shared" si="376"/>
        <v>0</v>
      </c>
      <c r="CP29" s="46">
        <f t="shared" si="408"/>
        <v>0</v>
      </c>
      <c r="CQ29" s="46">
        <f t="shared" si="409"/>
        <v>0</v>
      </c>
      <c r="CR29" s="46">
        <f t="shared" si="377"/>
        <v>0</v>
      </c>
      <c r="CS29" s="45">
        <f t="shared" si="378"/>
        <v>0</v>
      </c>
      <c r="CT29" s="45">
        <f t="shared" si="379"/>
        <v>0</v>
      </c>
      <c r="CU29" s="52">
        <v>0</v>
      </c>
      <c r="CV29" s="19">
        <v>0</v>
      </c>
      <c r="CW29" s="47">
        <f t="shared" si="380"/>
        <v>0</v>
      </c>
      <c r="CX29" s="46">
        <f t="shared" si="410"/>
        <v>0</v>
      </c>
      <c r="CY29" s="46">
        <f t="shared" si="411"/>
        <v>0</v>
      </c>
      <c r="CZ29" s="46">
        <f t="shared" si="381"/>
        <v>0</v>
      </c>
      <c r="DA29" s="45">
        <f t="shared" si="382"/>
        <v>0</v>
      </c>
      <c r="DB29" s="45">
        <f t="shared" si="383"/>
        <v>0</v>
      </c>
      <c r="DC29" s="52">
        <v>0</v>
      </c>
      <c r="DD29" s="19">
        <v>0</v>
      </c>
      <c r="DE29" s="47">
        <v>0</v>
      </c>
      <c r="DF29" s="46">
        <f t="shared" si="412"/>
        <v>0</v>
      </c>
      <c r="DG29" s="46">
        <f t="shared" si="413"/>
        <v>0</v>
      </c>
      <c r="DH29" s="46">
        <f t="shared" si="384"/>
        <v>0</v>
      </c>
      <c r="DI29" s="45">
        <f t="shared" si="385"/>
        <v>0</v>
      </c>
      <c r="DJ29" s="45">
        <f t="shared" si="386"/>
        <v>0</v>
      </c>
      <c r="DK29" s="52">
        <v>0</v>
      </c>
      <c r="DL29" s="19">
        <v>0</v>
      </c>
      <c r="DM29" s="47">
        <f t="shared" si="387"/>
        <v>0</v>
      </c>
      <c r="DN29" s="46">
        <f t="shared" si="414"/>
        <v>0</v>
      </c>
      <c r="DO29" s="46">
        <f t="shared" si="415"/>
        <v>0</v>
      </c>
      <c r="DP29" s="46">
        <f t="shared" si="388"/>
        <v>0</v>
      </c>
      <c r="DQ29" s="45">
        <f t="shared" si="389"/>
        <v>0</v>
      </c>
      <c r="DR29" s="45">
        <f t="shared" si="390"/>
        <v>0</v>
      </c>
    </row>
    <row r="30" spans="1:122" ht="18" customHeight="1" x14ac:dyDescent="0.3">
      <c r="A30" s="108"/>
      <c r="B30" s="105"/>
      <c r="C30" s="133"/>
      <c r="D30" s="133"/>
      <c r="E30" s="21"/>
      <c r="F30" s="18" t="s">
        <v>67</v>
      </c>
      <c r="G30" s="70">
        <v>1</v>
      </c>
      <c r="H30" s="71">
        <v>1</v>
      </c>
      <c r="I30" s="71">
        <f t="shared" si="0"/>
        <v>0</v>
      </c>
      <c r="J30" s="58">
        <f t="shared" ref="J30:J31" si="418">IFERROR(IF((I30/H30)&gt;=1,100%,(I30/H30)),0%)</f>
        <v>0</v>
      </c>
      <c r="K30" s="52">
        <v>0</v>
      </c>
      <c r="L30" s="19">
        <v>0</v>
      </c>
      <c r="M30" s="47">
        <f t="shared" ref="M30:M31" si="419">IFERROR(IF((L30/K30)&gt;=1,100%,(L30/K30)),0%)</f>
        <v>0</v>
      </c>
      <c r="N30" s="46">
        <f t="shared" ref="N30:N31" si="420">+K30</f>
        <v>0</v>
      </c>
      <c r="O30" s="46">
        <f t="shared" ref="O30:O31" si="421">+L30</f>
        <v>0</v>
      </c>
      <c r="P30" s="46">
        <f t="shared" ref="P30:P31" si="422">O30-N30</f>
        <v>0</v>
      </c>
      <c r="Q30" s="45">
        <f t="shared" ref="Q30:Q31" si="423">N30/$G30</f>
        <v>0</v>
      </c>
      <c r="R30" s="45">
        <f t="shared" ref="R30:R31" si="424">O30/$G30</f>
        <v>0</v>
      </c>
      <c r="S30" s="52">
        <v>0</v>
      </c>
      <c r="T30" s="19">
        <v>0</v>
      </c>
      <c r="U30" s="47">
        <f t="shared" ref="U30:U31" si="425">IFERROR(IF((T30/S30)&gt;=1,100%,(T30/S30)),0%)</f>
        <v>0</v>
      </c>
      <c r="V30" s="46">
        <f t="shared" si="391"/>
        <v>0</v>
      </c>
      <c r="W30" s="46">
        <f t="shared" si="392"/>
        <v>0</v>
      </c>
      <c r="X30" s="46">
        <f t="shared" ref="X30:X31" si="426">W30-V30</f>
        <v>0</v>
      </c>
      <c r="Y30" s="45">
        <f t="shared" ref="Y30:Y31" si="427">V30/$G30</f>
        <v>0</v>
      </c>
      <c r="Z30" s="45">
        <f t="shared" ref="Z30:Z31" si="428">W30/$G30</f>
        <v>0</v>
      </c>
      <c r="AA30" s="52">
        <v>0</v>
      </c>
      <c r="AB30" s="19">
        <v>0</v>
      </c>
      <c r="AC30" s="47">
        <f t="shared" ref="AC30:AC31" si="429">IFERROR(IF((AB30/AA30)&gt;=1,100%,(AB30/AA30)),0%)</f>
        <v>0</v>
      </c>
      <c r="AD30" s="46">
        <f t="shared" si="393"/>
        <v>0</v>
      </c>
      <c r="AE30" s="46">
        <f t="shared" si="394"/>
        <v>0</v>
      </c>
      <c r="AF30" s="46">
        <f t="shared" ref="AF30:AF31" si="430">AE30-AD30</f>
        <v>0</v>
      </c>
      <c r="AG30" s="45">
        <f t="shared" ref="AG30:AG31" si="431">AD30/$G30</f>
        <v>0</v>
      </c>
      <c r="AH30" s="45">
        <f t="shared" ref="AH30:AH31" si="432">AE30/$G30</f>
        <v>0</v>
      </c>
      <c r="AI30" s="52">
        <v>0</v>
      </c>
      <c r="AJ30" s="19">
        <v>0</v>
      </c>
      <c r="AK30" s="47">
        <f t="shared" ref="AK30:AK31" si="433">IFERROR(IF((AJ30/AI30)&gt;=1,100%,(AJ30/AI30)),0%)</f>
        <v>0</v>
      </c>
      <c r="AL30" s="46">
        <f t="shared" si="395"/>
        <v>0</v>
      </c>
      <c r="AM30" s="46">
        <f t="shared" si="396"/>
        <v>0</v>
      </c>
      <c r="AN30" s="46">
        <f t="shared" ref="AN30:AN31" si="434">AM30-AL30</f>
        <v>0</v>
      </c>
      <c r="AO30" s="45">
        <f t="shared" ref="AO30:AO31" si="435">AL30/$G30</f>
        <v>0</v>
      </c>
      <c r="AP30" s="45">
        <f t="shared" ref="AP30:AP31" si="436">AM30/$G30</f>
        <v>0</v>
      </c>
      <c r="AQ30" s="52">
        <v>0</v>
      </c>
      <c r="AR30" s="19">
        <v>0</v>
      </c>
      <c r="AS30" s="47">
        <f t="shared" ref="AS30:AS31" si="437">IFERROR(IF((AR30/AQ30)&gt;=1,100%,(AR30/AQ30)),0%)</f>
        <v>0</v>
      </c>
      <c r="AT30" s="46">
        <f t="shared" si="397"/>
        <v>0</v>
      </c>
      <c r="AU30" s="46">
        <f t="shared" si="398"/>
        <v>0</v>
      </c>
      <c r="AV30" s="46">
        <f t="shared" ref="AV30:AV31" si="438">AU30-AT30</f>
        <v>0</v>
      </c>
      <c r="AW30" s="45">
        <f t="shared" ref="AW30:AW31" si="439">AT30/$G30</f>
        <v>0</v>
      </c>
      <c r="AX30" s="45">
        <f t="shared" ref="AX30:AX31" si="440">AU30/$G30</f>
        <v>0</v>
      </c>
      <c r="AY30" s="52">
        <v>0</v>
      </c>
      <c r="AZ30" s="19">
        <v>0</v>
      </c>
      <c r="BA30" s="47">
        <f t="shared" ref="BA30:BA31" si="441">IFERROR(IF((AZ30/AY30)&gt;=1,100%,(AZ30/AY30)),0%)</f>
        <v>0</v>
      </c>
      <c r="BB30" s="46">
        <f t="shared" si="399"/>
        <v>0</v>
      </c>
      <c r="BC30" s="46">
        <f t="shared" si="400"/>
        <v>0</v>
      </c>
      <c r="BD30" s="46">
        <f t="shared" ref="BD30:BD31" si="442">BC30-BB30</f>
        <v>0</v>
      </c>
      <c r="BE30" s="45">
        <f t="shared" ref="BE30:BE31" si="443">BB30/$G30</f>
        <v>0</v>
      </c>
      <c r="BF30" s="45">
        <f t="shared" ref="BF30:BF31" si="444">BC30/$G30</f>
        <v>0</v>
      </c>
      <c r="BG30" s="52">
        <v>0</v>
      </c>
      <c r="BH30" s="19">
        <v>0</v>
      </c>
      <c r="BI30" s="47">
        <f t="shared" ref="BI30:BI31" si="445">IFERROR(IF((BH30/BG30)&gt;=1,100%,(BH30/BG30)),0%)</f>
        <v>0</v>
      </c>
      <c r="BJ30" s="46">
        <f t="shared" si="401"/>
        <v>0</v>
      </c>
      <c r="BK30" s="46">
        <f t="shared" si="416"/>
        <v>0</v>
      </c>
      <c r="BL30" s="46">
        <f t="shared" ref="BL30:BL31" si="446">BK30-BJ30</f>
        <v>0</v>
      </c>
      <c r="BM30" s="45">
        <f t="shared" ref="BM30:BM31" si="447">BJ30/$G30</f>
        <v>0</v>
      </c>
      <c r="BN30" s="45">
        <f t="shared" ref="BN30:BN31" si="448">BK30/$G30</f>
        <v>0</v>
      </c>
      <c r="BO30" s="52">
        <v>0</v>
      </c>
      <c r="BP30" s="19">
        <v>0</v>
      </c>
      <c r="BQ30" s="47">
        <f t="shared" ref="BQ30:BQ31" si="449">IFERROR(IF((BP30/BO30)&gt;=1,100%,(BP30/BO30)),0%)</f>
        <v>0</v>
      </c>
      <c r="BR30" s="46">
        <f t="shared" si="402"/>
        <v>0</v>
      </c>
      <c r="BS30" s="46">
        <f t="shared" si="403"/>
        <v>0</v>
      </c>
      <c r="BT30" s="46">
        <f t="shared" ref="BT30:BT31" si="450">BS30-BR30</f>
        <v>0</v>
      </c>
      <c r="BU30" s="45">
        <f t="shared" ref="BU30:BU31" si="451">BR30/$G30</f>
        <v>0</v>
      </c>
      <c r="BV30" s="45">
        <f t="shared" ref="BV30:BV31" si="452">BS30/$G30</f>
        <v>0</v>
      </c>
      <c r="BW30" s="52">
        <v>0</v>
      </c>
      <c r="BX30" s="19">
        <v>0</v>
      </c>
      <c r="BY30" s="47">
        <f t="shared" ref="BY30:BY31" si="453">IFERROR(IF((BX30/BW30)&gt;=1,100%,(BX30/BW30)),0%)</f>
        <v>0</v>
      </c>
      <c r="BZ30" s="46">
        <f t="shared" si="404"/>
        <v>0</v>
      </c>
      <c r="CA30" s="46">
        <f t="shared" si="405"/>
        <v>0</v>
      </c>
      <c r="CB30" s="46">
        <f t="shared" ref="CB30:CB31" si="454">CA30-BZ30</f>
        <v>0</v>
      </c>
      <c r="CC30" s="45">
        <f t="shared" ref="CC30:CC31" si="455">BZ30/$G30</f>
        <v>0</v>
      </c>
      <c r="CD30" s="45">
        <f t="shared" ref="CD30:CD31" si="456">CA30/$G30</f>
        <v>0</v>
      </c>
      <c r="CE30" s="52">
        <v>0</v>
      </c>
      <c r="CF30" s="19">
        <v>0</v>
      </c>
      <c r="CG30" s="47">
        <f t="shared" ref="CG30:CG31" si="457">IFERROR(IF((CF30/CE30)&gt;=1,100%,(CF30/CE30)),0%)</f>
        <v>0</v>
      </c>
      <c r="CH30" s="46">
        <f t="shared" si="406"/>
        <v>0</v>
      </c>
      <c r="CI30" s="46">
        <f t="shared" si="407"/>
        <v>0</v>
      </c>
      <c r="CJ30" s="46">
        <f t="shared" ref="CJ30:CJ31" si="458">CI30-CH30</f>
        <v>0</v>
      </c>
      <c r="CK30" s="45">
        <f t="shared" ref="CK30:CK31" si="459">CH30/$G30</f>
        <v>0</v>
      </c>
      <c r="CL30" s="45">
        <f t="shared" ref="CL30:CL31" si="460">CI30/$G30</f>
        <v>0</v>
      </c>
      <c r="CM30" s="52">
        <v>0</v>
      </c>
      <c r="CN30" s="19">
        <v>0</v>
      </c>
      <c r="CO30" s="47">
        <f t="shared" ref="CO30:CO31" si="461">IFERROR(IF((CN30/CM30)&gt;=1,100%,(CN30/CM30)),0%)</f>
        <v>0</v>
      </c>
      <c r="CP30" s="46">
        <f t="shared" si="408"/>
        <v>0</v>
      </c>
      <c r="CQ30" s="46">
        <f t="shared" si="409"/>
        <v>0</v>
      </c>
      <c r="CR30" s="46">
        <f t="shared" ref="CR30:CR31" si="462">CQ30-CP30</f>
        <v>0</v>
      </c>
      <c r="CS30" s="45">
        <f t="shared" ref="CS30:CS31" si="463">CP30/$G30</f>
        <v>0</v>
      </c>
      <c r="CT30" s="45">
        <f t="shared" ref="CT30:CT31" si="464">CQ30/$G30</f>
        <v>0</v>
      </c>
      <c r="CU30" s="52">
        <v>0</v>
      </c>
      <c r="CV30" s="19">
        <v>0</v>
      </c>
      <c r="CW30" s="47">
        <f t="shared" ref="CW30:CW31" si="465">IFERROR(IF((CV30/CU30)&gt;=1,100%,(CV30/CU30)),0%)</f>
        <v>0</v>
      </c>
      <c r="CX30" s="46">
        <f t="shared" si="410"/>
        <v>0</v>
      </c>
      <c r="CY30" s="46">
        <f t="shared" si="411"/>
        <v>0</v>
      </c>
      <c r="CZ30" s="46">
        <f t="shared" ref="CZ30:CZ31" si="466">CY30-CX30</f>
        <v>0</v>
      </c>
      <c r="DA30" s="45">
        <f t="shared" ref="DA30:DA31" si="467">CX30/$G30</f>
        <v>0</v>
      </c>
      <c r="DB30" s="45">
        <f t="shared" ref="DB30:DB31" si="468">CY30/$G30</f>
        <v>0</v>
      </c>
      <c r="DC30" s="52">
        <v>0</v>
      </c>
      <c r="DD30" s="19">
        <v>0</v>
      </c>
      <c r="DE30" s="47">
        <v>0</v>
      </c>
      <c r="DF30" s="46">
        <f t="shared" si="412"/>
        <v>0</v>
      </c>
      <c r="DG30" s="46">
        <f t="shared" si="413"/>
        <v>0</v>
      </c>
      <c r="DH30" s="46">
        <f t="shared" ref="DH30:DH31" si="469">DG30-DF30</f>
        <v>0</v>
      </c>
      <c r="DI30" s="45">
        <f t="shared" ref="DI30:DI31" si="470">DF30/$G30</f>
        <v>0</v>
      </c>
      <c r="DJ30" s="45">
        <f t="shared" ref="DJ30:DJ31" si="471">DG30/$G30</f>
        <v>0</v>
      </c>
      <c r="DK30" s="52">
        <v>0</v>
      </c>
      <c r="DL30" s="19">
        <v>0</v>
      </c>
      <c r="DM30" s="47">
        <f t="shared" ref="DM30:DM31" si="472">IFERROR(IF((DL30/DK30)&gt;=1,100%,(DL30/DK30)),0%)</f>
        <v>0</v>
      </c>
      <c r="DN30" s="46">
        <f t="shared" si="414"/>
        <v>0</v>
      </c>
      <c r="DO30" s="46">
        <f t="shared" si="415"/>
        <v>0</v>
      </c>
      <c r="DP30" s="46">
        <f t="shared" ref="DP30:DP31" si="473">DO30-DN30</f>
        <v>0</v>
      </c>
      <c r="DQ30" s="45">
        <f t="shared" ref="DQ30:DQ31" si="474">DN30/$G30</f>
        <v>0</v>
      </c>
      <c r="DR30" s="45">
        <f t="shared" ref="DR30:DR31" si="475">DO30/$G30</f>
        <v>0</v>
      </c>
    </row>
    <row r="31" spans="1:122" ht="18" customHeight="1" x14ac:dyDescent="0.3">
      <c r="A31" s="108"/>
      <c r="B31" s="106"/>
      <c r="C31" s="133"/>
      <c r="D31" s="133"/>
      <c r="E31" s="21"/>
      <c r="F31" s="18" t="s">
        <v>68</v>
      </c>
      <c r="G31" s="70">
        <v>1</v>
      </c>
      <c r="H31" s="71">
        <v>1</v>
      </c>
      <c r="I31" s="71">
        <f t="shared" si="0"/>
        <v>0</v>
      </c>
      <c r="J31" s="58">
        <f t="shared" si="418"/>
        <v>0</v>
      </c>
      <c r="K31" s="52">
        <v>0</v>
      </c>
      <c r="L31" s="19">
        <v>0</v>
      </c>
      <c r="M31" s="47">
        <f t="shared" si="419"/>
        <v>0</v>
      </c>
      <c r="N31" s="46">
        <f t="shared" si="420"/>
        <v>0</v>
      </c>
      <c r="O31" s="46">
        <f t="shared" si="421"/>
        <v>0</v>
      </c>
      <c r="P31" s="46">
        <f t="shared" si="422"/>
        <v>0</v>
      </c>
      <c r="Q31" s="45">
        <f t="shared" si="423"/>
        <v>0</v>
      </c>
      <c r="R31" s="45">
        <f t="shared" si="424"/>
        <v>0</v>
      </c>
      <c r="S31" s="52">
        <v>0</v>
      </c>
      <c r="T31" s="19">
        <v>0</v>
      </c>
      <c r="U31" s="47">
        <f t="shared" si="425"/>
        <v>0</v>
      </c>
      <c r="V31" s="46">
        <f t="shared" si="391"/>
        <v>0</v>
      </c>
      <c r="W31" s="46">
        <f t="shared" si="392"/>
        <v>0</v>
      </c>
      <c r="X31" s="46">
        <f t="shared" si="426"/>
        <v>0</v>
      </c>
      <c r="Y31" s="45">
        <f t="shared" si="427"/>
        <v>0</v>
      </c>
      <c r="Z31" s="45">
        <f t="shared" si="428"/>
        <v>0</v>
      </c>
      <c r="AA31" s="52">
        <v>0</v>
      </c>
      <c r="AB31" s="19">
        <v>0</v>
      </c>
      <c r="AC31" s="47">
        <f t="shared" si="429"/>
        <v>0</v>
      </c>
      <c r="AD31" s="46">
        <f t="shared" si="393"/>
        <v>0</v>
      </c>
      <c r="AE31" s="46">
        <f t="shared" si="394"/>
        <v>0</v>
      </c>
      <c r="AF31" s="46">
        <f t="shared" si="430"/>
        <v>0</v>
      </c>
      <c r="AG31" s="45">
        <f t="shared" si="431"/>
        <v>0</v>
      </c>
      <c r="AH31" s="45">
        <f t="shared" si="432"/>
        <v>0</v>
      </c>
      <c r="AI31" s="52">
        <v>0</v>
      </c>
      <c r="AJ31" s="19">
        <v>0</v>
      </c>
      <c r="AK31" s="47">
        <f t="shared" si="433"/>
        <v>0</v>
      </c>
      <c r="AL31" s="46">
        <f t="shared" si="395"/>
        <v>0</v>
      </c>
      <c r="AM31" s="46">
        <f t="shared" si="396"/>
        <v>0</v>
      </c>
      <c r="AN31" s="46">
        <f t="shared" si="434"/>
        <v>0</v>
      </c>
      <c r="AO31" s="45">
        <f t="shared" si="435"/>
        <v>0</v>
      </c>
      <c r="AP31" s="45">
        <f t="shared" si="436"/>
        <v>0</v>
      </c>
      <c r="AQ31" s="52">
        <v>0</v>
      </c>
      <c r="AR31" s="19">
        <v>0</v>
      </c>
      <c r="AS31" s="47">
        <f t="shared" si="437"/>
        <v>0</v>
      </c>
      <c r="AT31" s="46">
        <f t="shared" si="397"/>
        <v>0</v>
      </c>
      <c r="AU31" s="46">
        <f t="shared" si="398"/>
        <v>0</v>
      </c>
      <c r="AV31" s="46">
        <f t="shared" si="438"/>
        <v>0</v>
      </c>
      <c r="AW31" s="45">
        <f t="shared" si="439"/>
        <v>0</v>
      </c>
      <c r="AX31" s="45">
        <f t="shared" si="440"/>
        <v>0</v>
      </c>
      <c r="AY31" s="52">
        <v>0</v>
      </c>
      <c r="AZ31" s="19">
        <v>0</v>
      </c>
      <c r="BA31" s="47">
        <f t="shared" si="441"/>
        <v>0</v>
      </c>
      <c r="BB31" s="46">
        <f t="shared" si="399"/>
        <v>0</v>
      </c>
      <c r="BC31" s="46">
        <f t="shared" si="400"/>
        <v>0</v>
      </c>
      <c r="BD31" s="46">
        <f t="shared" si="442"/>
        <v>0</v>
      </c>
      <c r="BE31" s="45">
        <f t="shared" si="443"/>
        <v>0</v>
      </c>
      <c r="BF31" s="45">
        <f t="shared" si="444"/>
        <v>0</v>
      </c>
      <c r="BG31" s="52">
        <v>0</v>
      </c>
      <c r="BH31" s="19">
        <v>0</v>
      </c>
      <c r="BI31" s="47">
        <f t="shared" si="445"/>
        <v>0</v>
      </c>
      <c r="BJ31" s="46">
        <f t="shared" si="401"/>
        <v>0</v>
      </c>
      <c r="BK31" s="46">
        <f t="shared" si="416"/>
        <v>0</v>
      </c>
      <c r="BL31" s="46">
        <f t="shared" si="446"/>
        <v>0</v>
      </c>
      <c r="BM31" s="45">
        <f t="shared" si="447"/>
        <v>0</v>
      </c>
      <c r="BN31" s="45">
        <f t="shared" si="448"/>
        <v>0</v>
      </c>
      <c r="BO31" s="52">
        <v>0</v>
      </c>
      <c r="BP31" s="19">
        <v>0</v>
      </c>
      <c r="BQ31" s="47">
        <f t="shared" si="449"/>
        <v>0</v>
      </c>
      <c r="BR31" s="46">
        <f t="shared" si="402"/>
        <v>0</v>
      </c>
      <c r="BS31" s="46">
        <f t="shared" si="403"/>
        <v>0</v>
      </c>
      <c r="BT31" s="46">
        <f t="shared" si="450"/>
        <v>0</v>
      </c>
      <c r="BU31" s="45">
        <f t="shared" si="451"/>
        <v>0</v>
      </c>
      <c r="BV31" s="45">
        <f t="shared" si="452"/>
        <v>0</v>
      </c>
      <c r="BW31" s="52">
        <v>0</v>
      </c>
      <c r="BX31" s="19">
        <v>0</v>
      </c>
      <c r="BY31" s="47">
        <f t="shared" si="453"/>
        <v>0</v>
      </c>
      <c r="BZ31" s="46">
        <f t="shared" si="404"/>
        <v>0</v>
      </c>
      <c r="CA31" s="46">
        <f t="shared" si="405"/>
        <v>0</v>
      </c>
      <c r="CB31" s="46">
        <f t="shared" si="454"/>
        <v>0</v>
      </c>
      <c r="CC31" s="45">
        <f t="shared" si="455"/>
        <v>0</v>
      </c>
      <c r="CD31" s="45">
        <f t="shared" si="456"/>
        <v>0</v>
      </c>
      <c r="CE31" s="52">
        <v>0</v>
      </c>
      <c r="CF31" s="19">
        <v>0</v>
      </c>
      <c r="CG31" s="47">
        <f t="shared" si="457"/>
        <v>0</v>
      </c>
      <c r="CH31" s="46">
        <f t="shared" si="406"/>
        <v>0</v>
      </c>
      <c r="CI31" s="46">
        <f t="shared" si="407"/>
        <v>0</v>
      </c>
      <c r="CJ31" s="46">
        <f t="shared" si="458"/>
        <v>0</v>
      </c>
      <c r="CK31" s="45">
        <f t="shared" si="459"/>
        <v>0</v>
      </c>
      <c r="CL31" s="45">
        <f t="shared" si="460"/>
        <v>0</v>
      </c>
      <c r="CM31" s="52">
        <v>0</v>
      </c>
      <c r="CN31" s="19">
        <v>0</v>
      </c>
      <c r="CO31" s="47">
        <f t="shared" si="461"/>
        <v>0</v>
      </c>
      <c r="CP31" s="46">
        <f t="shared" si="408"/>
        <v>0</v>
      </c>
      <c r="CQ31" s="46">
        <f t="shared" si="409"/>
        <v>0</v>
      </c>
      <c r="CR31" s="46">
        <f t="shared" si="462"/>
        <v>0</v>
      </c>
      <c r="CS31" s="45">
        <f t="shared" si="463"/>
        <v>0</v>
      </c>
      <c r="CT31" s="45">
        <f t="shared" si="464"/>
        <v>0</v>
      </c>
      <c r="CU31" s="52">
        <v>0</v>
      </c>
      <c r="CV31" s="19">
        <v>0</v>
      </c>
      <c r="CW31" s="47">
        <f t="shared" si="465"/>
        <v>0</v>
      </c>
      <c r="CX31" s="46">
        <f t="shared" si="410"/>
        <v>0</v>
      </c>
      <c r="CY31" s="46">
        <f t="shared" si="411"/>
        <v>0</v>
      </c>
      <c r="CZ31" s="46">
        <f t="shared" si="466"/>
        <v>0</v>
      </c>
      <c r="DA31" s="45">
        <f t="shared" si="467"/>
        <v>0</v>
      </c>
      <c r="DB31" s="45">
        <f t="shared" si="468"/>
        <v>0</v>
      </c>
      <c r="DC31" s="52">
        <v>0</v>
      </c>
      <c r="DD31" s="19">
        <v>0</v>
      </c>
      <c r="DE31" s="47">
        <v>0</v>
      </c>
      <c r="DF31" s="46">
        <f t="shared" si="412"/>
        <v>0</v>
      </c>
      <c r="DG31" s="46">
        <f t="shared" si="413"/>
        <v>0</v>
      </c>
      <c r="DH31" s="46">
        <f t="shared" si="469"/>
        <v>0</v>
      </c>
      <c r="DI31" s="45">
        <f t="shared" si="470"/>
        <v>0</v>
      </c>
      <c r="DJ31" s="45">
        <f t="shared" si="471"/>
        <v>0</v>
      </c>
      <c r="DK31" s="52">
        <v>0</v>
      </c>
      <c r="DL31" s="19">
        <v>0</v>
      </c>
      <c r="DM31" s="47">
        <f t="shared" si="472"/>
        <v>0</v>
      </c>
      <c r="DN31" s="46">
        <f t="shared" si="414"/>
        <v>0</v>
      </c>
      <c r="DO31" s="46">
        <f t="shared" si="415"/>
        <v>0</v>
      </c>
      <c r="DP31" s="46">
        <f t="shared" si="473"/>
        <v>0</v>
      </c>
      <c r="DQ31" s="45">
        <f t="shared" si="474"/>
        <v>0</v>
      </c>
      <c r="DR31" s="45">
        <f t="shared" si="475"/>
        <v>0</v>
      </c>
    </row>
    <row r="32" spans="1:122" ht="18" customHeight="1" x14ac:dyDescent="0.3">
      <c r="A32" s="108"/>
      <c r="B32" s="101" t="s">
        <v>69</v>
      </c>
      <c r="C32" s="131" t="s">
        <v>64</v>
      </c>
      <c r="D32" s="132" t="s">
        <v>80</v>
      </c>
      <c r="E32" s="129">
        <v>1</v>
      </c>
      <c r="F32" s="18" t="s">
        <v>41</v>
      </c>
      <c r="G32" s="70">
        <v>1</v>
      </c>
      <c r="H32" s="71">
        <v>1</v>
      </c>
      <c r="I32" s="71">
        <f t="shared" si="0"/>
        <v>0</v>
      </c>
      <c r="J32" s="59">
        <f t="shared" si="334"/>
        <v>0</v>
      </c>
      <c r="K32" s="52">
        <v>0</v>
      </c>
      <c r="L32" s="19">
        <v>0</v>
      </c>
      <c r="M32" s="50">
        <f t="shared" si="335"/>
        <v>0</v>
      </c>
      <c r="N32" s="49">
        <f t="shared" si="336"/>
        <v>0</v>
      </c>
      <c r="O32" s="49">
        <f t="shared" si="337"/>
        <v>0</v>
      </c>
      <c r="P32" s="49">
        <f t="shared" si="338"/>
        <v>0</v>
      </c>
      <c r="Q32" s="48">
        <f t="shared" si="339"/>
        <v>0</v>
      </c>
      <c r="R32" s="48">
        <f t="shared" si="340"/>
        <v>0</v>
      </c>
      <c r="S32" s="52">
        <v>0</v>
      </c>
      <c r="T32" s="19">
        <v>0</v>
      </c>
      <c r="U32" s="50">
        <f t="shared" si="341"/>
        <v>0</v>
      </c>
      <c r="V32" s="49">
        <f t="shared" si="391"/>
        <v>0</v>
      </c>
      <c r="W32" s="49">
        <f t="shared" si="392"/>
        <v>0</v>
      </c>
      <c r="X32" s="49">
        <f t="shared" si="342"/>
        <v>0</v>
      </c>
      <c r="Y32" s="48">
        <f t="shared" si="343"/>
        <v>0</v>
      </c>
      <c r="Z32" s="48">
        <f t="shared" si="344"/>
        <v>0</v>
      </c>
      <c r="AA32" s="52">
        <v>0</v>
      </c>
      <c r="AB32" s="19">
        <v>0</v>
      </c>
      <c r="AC32" s="50">
        <f t="shared" si="345"/>
        <v>0</v>
      </c>
      <c r="AD32" s="49">
        <f t="shared" si="393"/>
        <v>0</v>
      </c>
      <c r="AE32" s="49">
        <f t="shared" si="394"/>
        <v>0</v>
      </c>
      <c r="AF32" s="49">
        <f t="shared" si="346"/>
        <v>0</v>
      </c>
      <c r="AG32" s="48">
        <f t="shared" si="347"/>
        <v>0</v>
      </c>
      <c r="AH32" s="48">
        <f t="shared" si="348"/>
        <v>0</v>
      </c>
      <c r="AI32" s="52">
        <v>0</v>
      </c>
      <c r="AJ32" s="19">
        <v>0</v>
      </c>
      <c r="AK32" s="50">
        <f t="shared" si="349"/>
        <v>0</v>
      </c>
      <c r="AL32" s="49">
        <f t="shared" si="395"/>
        <v>0</v>
      </c>
      <c r="AM32" s="49">
        <f t="shared" si="396"/>
        <v>0</v>
      </c>
      <c r="AN32" s="49">
        <f t="shared" si="350"/>
        <v>0</v>
      </c>
      <c r="AO32" s="48">
        <f t="shared" si="351"/>
        <v>0</v>
      </c>
      <c r="AP32" s="48">
        <f t="shared" si="352"/>
        <v>0</v>
      </c>
      <c r="AQ32" s="52">
        <v>0</v>
      </c>
      <c r="AR32" s="19">
        <v>0</v>
      </c>
      <c r="AS32" s="50">
        <f t="shared" si="353"/>
        <v>0</v>
      </c>
      <c r="AT32" s="49">
        <f t="shared" si="397"/>
        <v>0</v>
      </c>
      <c r="AU32" s="49">
        <f t="shared" si="398"/>
        <v>0</v>
      </c>
      <c r="AV32" s="49">
        <f t="shared" si="354"/>
        <v>0</v>
      </c>
      <c r="AW32" s="48">
        <f t="shared" si="355"/>
        <v>0</v>
      </c>
      <c r="AX32" s="48">
        <f t="shared" si="356"/>
        <v>0</v>
      </c>
      <c r="AY32" s="52">
        <v>0</v>
      </c>
      <c r="AZ32" s="19">
        <v>0</v>
      </c>
      <c r="BA32" s="50">
        <f t="shared" si="357"/>
        <v>0</v>
      </c>
      <c r="BB32" s="49">
        <f t="shared" si="399"/>
        <v>0</v>
      </c>
      <c r="BC32" s="49">
        <f t="shared" si="400"/>
        <v>0</v>
      </c>
      <c r="BD32" s="49">
        <f t="shared" si="358"/>
        <v>0</v>
      </c>
      <c r="BE32" s="48">
        <f t="shared" si="359"/>
        <v>0</v>
      </c>
      <c r="BF32" s="48">
        <f t="shared" si="360"/>
        <v>0</v>
      </c>
      <c r="BG32" s="52">
        <v>0</v>
      </c>
      <c r="BH32" s="19">
        <v>0</v>
      </c>
      <c r="BI32" s="50">
        <f t="shared" si="361"/>
        <v>0</v>
      </c>
      <c r="BJ32" s="49">
        <f t="shared" si="401"/>
        <v>0</v>
      </c>
      <c r="BK32" s="49">
        <f t="shared" si="416"/>
        <v>0</v>
      </c>
      <c r="BL32" s="49">
        <f t="shared" si="417"/>
        <v>0</v>
      </c>
      <c r="BM32" s="48">
        <f t="shared" si="362"/>
        <v>0</v>
      </c>
      <c r="BN32" s="48">
        <f t="shared" si="363"/>
        <v>0</v>
      </c>
      <c r="BO32" s="52">
        <v>0</v>
      </c>
      <c r="BP32" s="19">
        <v>0</v>
      </c>
      <c r="BQ32" s="50">
        <f t="shared" si="364"/>
        <v>0</v>
      </c>
      <c r="BR32" s="49">
        <f t="shared" si="402"/>
        <v>0</v>
      </c>
      <c r="BS32" s="49">
        <f t="shared" si="403"/>
        <v>0</v>
      </c>
      <c r="BT32" s="49">
        <f t="shared" si="365"/>
        <v>0</v>
      </c>
      <c r="BU32" s="48">
        <f t="shared" si="366"/>
        <v>0</v>
      </c>
      <c r="BV32" s="48">
        <f t="shared" si="367"/>
        <v>0</v>
      </c>
      <c r="BW32" s="52">
        <v>0</v>
      </c>
      <c r="BX32" s="19">
        <v>0</v>
      </c>
      <c r="BY32" s="50">
        <f t="shared" si="368"/>
        <v>0</v>
      </c>
      <c r="BZ32" s="49">
        <f t="shared" si="404"/>
        <v>0</v>
      </c>
      <c r="CA32" s="49">
        <f t="shared" si="405"/>
        <v>0</v>
      </c>
      <c r="CB32" s="49">
        <f t="shared" si="369"/>
        <v>0</v>
      </c>
      <c r="CC32" s="48">
        <f t="shared" si="370"/>
        <v>0</v>
      </c>
      <c r="CD32" s="48">
        <f t="shared" si="371"/>
        <v>0</v>
      </c>
      <c r="CE32" s="52">
        <v>0</v>
      </c>
      <c r="CF32" s="19">
        <v>0</v>
      </c>
      <c r="CG32" s="50">
        <f t="shared" si="372"/>
        <v>0</v>
      </c>
      <c r="CH32" s="49">
        <f t="shared" si="406"/>
        <v>0</v>
      </c>
      <c r="CI32" s="49">
        <f t="shared" si="407"/>
        <v>0</v>
      </c>
      <c r="CJ32" s="49">
        <f t="shared" si="373"/>
        <v>0</v>
      </c>
      <c r="CK32" s="48">
        <f t="shared" si="374"/>
        <v>0</v>
      </c>
      <c r="CL32" s="48">
        <f t="shared" si="375"/>
        <v>0</v>
      </c>
      <c r="CM32" s="52">
        <v>0</v>
      </c>
      <c r="CN32" s="19">
        <v>0</v>
      </c>
      <c r="CO32" s="50">
        <f t="shared" si="376"/>
        <v>0</v>
      </c>
      <c r="CP32" s="49">
        <f t="shared" si="408"/>
        <v>0</v>
      </c>
      <c r="CQ32" s="49">
        <f t="shared" si="409"/>
        <v>0</v>
      </c>
      <c r="CR32" s="49">
        <f t="shared" si="377"/>
        <v>0</v>
      </c>
      <c r="CS32" s="48">
        <f t="shared" si="378"/>
        <v>0</v>
      </c>
      <c r="CT32" s="48">
        <f t="shared" si="379"/>
        <v>0</v>
      </c>
      <c r="CU32" s="52">
        <v>0</v>
      </c>
      <c r="CV32" s="19">
        <v>0</v>
      </c>
      <c r="CW32" s="50">
        <f t="shared" si="380"/>
        <v>0</v>
      </c>
      <c r="CX32" s="49">
        <f t="shared" si="410"/>
        <v>0</v>
      </c>
      <c r="CY32" s="49">
        <f t="shared" si="411"/>
        <v>0</v>
      </c>
      <c r="CZ32" s="49">
        <f t="shared" si="381"/>
        <v>0</v>
      </c>
      <c r="DA32" s="48">
        <f t="shared" si="382"/>
        <v>0</v>
      </c>
      <c r="DB32" s="48">
        <f t="shared" si="383"/>
        <v>0</v>
      </c>
      <c r="DC32" s="52">
        <v>0</v>
      </c>
      <c r="DD32" s="19">
        <v>0</v>
      </c>
      <c r="DE32" s="50">
        <v>0</v>
      </c>
      <c r="DF32" s="49">
        <f t="shared" si="412"/>
        <v>0</v>
      </c>
      <c r="DG32" s="49">
        <f t="shared" si="413"/>
        <v>0</v>
      </c>
      <c r="DH32" s="49">
        <f t="shared" si="384"/>
        <v>0</v>
      </c>
      <c r="DI32" s="48">
        <f t="shared" si="385"/>
        <v>0</v>
      </c>
      <c r="DJ32" s="48">
        <f t="shared" si="386"/>
        <v>0</v>
      </c>
      <c r="DK32" s="52">
        <v>0</v>
      </c>
      <c r="DL32" s="19">
        <v>0</v>
      </c>
      <c r="DM32" s="50">
        <f t="shared" si="387"/>
        <v>0</v>
      </c>
      <c r="DN32" s="49">
        <f t="shared" si="414"/>
        <v>0</v>
      </c>
      <c r="DO32" s="49">
        <f t="shared" si="415"/>
        <v>0</v>
      </c>
      <c r="DP32" s="49">
        <f t="shared" si="388"/>
        <v>0</v>
      </c>
      <c r="DQ32" s="48">
        <f t="shared" si="389"/>
        <v>0</v>
      </c>
      <c r="DR32" s="48">
        <f t="shared" si="390"/>
        <v>0</v>
      </c>
    </row>
    <row r="33" spans="1:122" ht="18" customHeight="1" x14ac:dyDescent="0.3">
      <c r="A33" s="108"/>
      <c r="B33" s="102"/>
      <c r="C33" s="131"/>
      <c r="D33" s="132"/>
      <c r="E33" s="129"/>
      <c r="F33" s="18" t="s">
        <v>16</v>
      </c>
      <c r="G33" s="70">
        <v>1</v>
      </c>
      <c r="H33" s="71">
        <v>1</v>
      </c>
      <c r="I33" s="71">
        <f t="shared" si="0"/>
        <v>0</v>
      </c>
      <c r="J33" s="59">
        <f t="shared" si="334"/>
        <v>0</v>
      </c>
      <c r="K33" s="52">
        <v>0</v>
      </c>
      <c r="L33" s="19">
        <v>0</v>
      </c>
      <c r="M33" s="50">
        <f t="shared" si="335"/>
        <v>0</v>
      </c>
      <c r="N33" s="49">
        <f t="shared" si="336"/>
        <v>0</v>
      </c>
      <c r="O33" s="49">
        <f t="shared" si="337"/>
        <v>0</v>
      </c>
      <c r="P33" s="49">
        <f t="shared" si="338"/>
        <v>0</v>
      </c>
      <c r="Q33" s="48">
        <f t="shared" si="339"/>
        <v>0</v>
      </c>
      <c r="R33" s="48">
        <f t="shared" si="340"/>
        <v>0</v>
      </c>
      <c r="S33" s="52">
        <v>0</v>
      </c>
      <c r="T33" s="19">
        <v>0</v>
      </c>
      <c r="U33" s="50">
        <f t="shared" si="341"/>
        <v>0</v>
      </c>
      <c r="V33" s="49">
        <f t="shared" si="391"/>
        <v>0</v>
      </c>
      <c r="W33" s="49">
        <f t="shared" si="392"/>
        <v>0</v>
      </c>
      <c r="X33" s="49">
        <f t="shared" si="342"/>
        <v>0</v>
      </c>
      <c r="Y33" s="48">
        <f t="shared" si="343"/>
        <v>0</v>
      </c>
      <c r="Z33" s="48">
        <f t="shared" si="344"/>
        <v>0</v>
      </c>
      <c r="AA33" s="52">
        <v>0</v>
      </c>
      <c r="AB33" s="19">
        <v>0</v>
      </c>
      <c r="AC33" s="50">
        <f t="shared" si="345"/>
        <v>0</v>
      </c>
      <c r="AD33" s="49">
        <f t="shared" si="393"/>
        <v>0</v>
      </c>
      <c r="AE33" s="49">
        <f t="shared" si="394"/>
        <v>0</v>
      </c>
      <c r="AF33" s="49">
        <f t="shared" si="346"/>
        <v>0</v>
      </c>
      <c r="AG33" s="48">
        <f t="shared" si="347"/>
        <v>0</v>
      </c>
      <c r="AH33" s="48">
        <f t="shared" si="348"/>
        <v>0</v>
      </c>
      <c r="AI33" s="52">
        <v>0</v>
      </c>
      <c r="AJ33" s="19">
        <v>0</v>
      </c>
      <c r="AK33" s="50">
        <f t="shared" si="349"/>
        <v>0</v>
      </c>
      <c r="AL33" s="49">
        <f t="shared" si="395"/>
        <v>0</v>
      </c>
      <c r="AM33" s="49">
        <f t="shared" si="396"/>
        <v>0</v>
      </c>
      <c r="AN33" s="49">
        <f t="shared" si="350"/>
        <v>0</v>
      </c>
      <c r="AO33" s="48">
        <f t="shared" si="351"/>
        <v>0</v>
      </c>
      <c r="AP33" s="48">
        <f t="shared" si="352"/>
        <v>0</v>
      </c>
      <c r="AQ33" s="52">
        <v>0</v>
      </c>
      <c r="AR33" s="19">
        <v>0</v>
      </c>
      <c r="AS33" s="50">
        <f t="shared" si="353"/>
        <v>0</v>
      </c>
      <c r="AT33" s="49">
        <f t="shared" si="397"/>
        <v>0</v>
      </c>
      <c r="AU33" s="49">
        <f t="shared" si="398"/>
        <v>0</v>
      </c>
      <c r="AV33" s="49">
        <f t="shared" si="354"/>
        <v>0</v>
      </c>
      <c r="AW33" s="48">
        <f t="shared" si="355"/>
        <v>0</v>
      </c>
      <c r="AX33" s="48">
        <f t="shared" si="356"/>
        <v>0</v>
      </c>
      <c r="AY33" s="52">
        <v>0</v>
      </c>
      <c r="AZ33" s="19">
        <v>0</v>
      </c>
      <c r="BA33" s="50">
        <f t="shared" si="357"/>
        <v>0</v>
      </c>
      <c r="BB33" s="49">
        <f t="shared" si="399"/>
        <v>0</v>
      </c>
      <c r="BC33" s="49">
        <f t="shared" si="400"/>
        <v>0</v>
      </c>
      <c r="BD33" s="49">
        <f t="shared" si="358"/>
        <v>0</v>
      </c>
      <c r="BE33" s="48">
        <f t="shared" si="359"/>
        <v>0</v>
      </c>
      <c r="BF33" s="48">
        <f t="shared" si="360"/>
        <v>0</v>
      </c>
      <c r="BG33" s="52">
        <v>0</v>
      </c>
      <c r="BH33" s="19">
        <v>0</v>
      </c>
      <c r="BI33" s="50">
        <f t="shared" si="361"/>
        <v>0</v>
      </c>
      <c r="BJ33" s="49">
        <f t="shared" si="401"/>
        <v>0</v>
      </c>
      <c r="BK33" s="49">
        <f t="shared" si="416"/>
        <v>0</v>
      </c>
      <c r="BL33" s="49">
        <f t="shared" si="417"/>
        <v>0</v>
      </c>
      <c r="BM33" s="48">
        <f t="shared" si="362"/>
        <v>0</v>
      </c>
      <c r="BN33" s="48">
        <f t="shared" si="363"/>
        <v>0</v>
      </c>
      <c r="BO33" s="52">
        <v>0</v>
      </c>
      <c r="BP33" s="19">
        <v>0</v>
      </c>
      <c r="BQ33" s="50">
        <f t="shared" si="364"/>
        <v>0</v>
      </c>
      <c r="BR33" s="49">
        <f t="shared" si="402"/>
        <v>0</v>
      </c>
      <c r="BS33" s="49">
        <f t="shared" si="403"/>
        <v>0</v>
      </c>
      <c r="BT33" s="49">
        <f t="shared" si="365"/>
        <v>0</v>
      </c>
      <c r="BU33" s="48">
        <f t="shared" si="366"/>
        <v>0</v>
      </c>
      <c r="BV33" s="48">
        <f t="shared" si="367"/>
        <v>0</v>
      </c>
      <c r="BW33" s="52">
        <v>0</v>
      </c>
      <c r="BX33" s="19">
        <v>0</v>
      </c>
      <c r="BY33" s="50">
        <f t="shared" si="368"/>
        <v>0</v>
      </c>
      <c r="BZ33" s="49">
        <f t="shared" si="404"/>
        <v>0</v>
      </c>
      <c r="CA33" s="49">
        <f t="shared" si="405"/>
        <v>0</v>
      </c>
      <c r="CB33" s="49">
        <f t="shared" si="369"/>
        <v>0</v>
      </c>
      <c r="CC33" s="48">
        <f t="shared" si="370"/>
        <v>0</v>
      </c>
      <c r="CD33" s="48">
        <f t="shared" si="371"/>
        <v>0</v>
      </c>
      <c r="CE33" s="52">
        <v>0</v>
      </c>
      <c r="CF33" s="19">
        <v>0</v>
      </c>
      <c r="CG33" s="50">
        <f t="shared" si="372"/>
        <v>0</v>
      </c>
      <c r="CH33" s="49">
        <f t="shared" si="406"/>
        <v>0</v>
      </c>
      <c r="CI33" s="49">
        <f t="shared" si="407"/>
        <v>0</v>
      </c>
      <c r="CJ33" s="49">
        <f t="shared" si="373"/>
        <v>0</v>
      </c>
      <c r="CK33" s="48">
        <f t="shared" si="374"/>
        <v>0</v>
      </c>
      <c r="CL33" s="48">
        <f t="shared" si="375"/>
        <v>0</v>
      </c>
      <c r="CM33" s="52">
        <v>0</v>
      </c>
      <c r="CN33" s="19">
        <v>0</v>
      </c>
      <c r="CO33" s="50">
        <f t="shared" si="376"/>
        <v>0</v>
      </c>
      <c r="CP33" s="49">
        <f t="shared" si="408"/>
        <v>0</v>
      </c>
      <c r="CQ33" s="49">
        <f t="shared" si="409"/>
        <v>0</v>
      </c>
      <c r="CR33" s="49">
        <f t="shared" si="377"/>
        <v>0</v>
      </c>
      <c r="CS33" s="48">
        <f t="shared" si="378"/>
        <v>0</v>
      </c>
      <c r="CT33" s="48">
        <f t="shared" si="379"/>
        <v>0</v>
      </c>
      <c r="CU33" s="52">
        <v>0</v>
      </c>
      <c r="CV33" s="19">
        <v>0</v>
      </c>
      <c r="CW33" s="50">
        <f t="shared" si="380"/>
        <v>0</v>
      </c>
      <c r="CX33" s="49">
        <f t="shared" si="410"/>
        <v>0</v>
      </c>
      <c r="CY33" s="49">
        <f t="shared" si="411"/>
        <v>0</v>
      </c>
      <c r="CZ33" s="49">
        <f t="shared" si="381"/>
        <v>0</v>
      </c>
      <c r="DA33" s="48">
        <f t="shared" si="382"/>
        <v>0</v>
      </c>
      <c r="DB33" s="48">
        <f t="shared" si="383"/>
        <v>0</v>
      </c>
      <c r="DC33" s="52">
        <v>0</v>
      </c>
      <c r="DD33" s="19">
        <v>0</v>
      </c>
      <c r="DE33" s="50">
        <v>0</v>
      </c>
      <c r="DF33" s="49">
        <f t="shared" si="412"/>
        <v>0</v>
      </c>
      <c r="DG33" s="49">
        <f t="shared" si="413"/>
        <v>0</v>
      </c>
      <c r="DH33" s="49">
        <f t="shared" si="384"/>
        <v>0</v>
      </c>
      <c r="DI33" s="48">
        <f t="shared" si="385"/>
        <v>0</v>
      </c>
      <c r="DJ33" s="48">
        <f t="shared" si="386"/>
        <v>0</v>
      </c>
      <c r="DK33" s="52">
        <v>0</v>
      </c>
      <c r="DL33" s="19">
        <v>0</v>
      </c>
      <c r="DM33" s="50">
        <f t="shared" si="387"/>
        <v>0</v>
      </c>
      <c r="DN33" s="49">
        <f t="shared" si="414"/>
        <v>0</v>
      </c>
      <c r="DO33" s="49">
        <f t="shared" si="415"/>
        <v>0</v>
      </c>
      <c r="DP33" s="49">
        <f t="shared" si="388"/>
        <v>0</v>
      </c>
      <c r="DQ33" s="48">
        <f t="shared" si="389"/>
        <v>0</v>
      </c>
      <c r="DR33" s="48">
        <f t="shared" si="390"/>
        <v>0</v>
      </c>
    </row>
    <row r="34" spans="1:122" ht="18" customHeight="1" x14ac:dyDescent="0.3">
      <c r="A34" s="108"/>
      <c r="B34" s="102"/>
      <c r="C34" s="131"/>
      <c r="D34" s="132"/>
      <c r="E34" s="129"/>
      <c r="F34" s="18" t="s">
        <v>15</v>
      </c>
      <c r="G34" s="70">
        <v>1</v>
      </c>
      <c r="H34" s="71">
        <v>1</v>
      </c>
      <c r="I34" s="71">
        <f t="shared" si="0"/>
        <v>0</v>
      </c>
      <c r="J34" s="59">
        <f t="shared" si="334"/>
        <v>0</v>
      </c>
      <c r="K34" s="52">
        <v>0</v>
      </c>
      <c r="L34" s="19">
        <v>0</v>
      </c>
      <c r="M34" s="50">
        <f t="shared" si="335"/>
        <v>0</v>
      </c>
      <c r="N34" s="49">
        <f t="shared" si="336"/>
        <v>0</v>
      </c>
      <c r="O34" s="49">
        <f t="shared" si="337"/>
        <v>0</v>
      </c>
      <c r="P34" s="49">
        <f t="shared" si="338"/>
        <v>0</v>
      </c>
      <c r="Q34" s="48">
        <f t="shared" si="339"/>
        <v>0</v>
      </c>
      <c r="R34" s="48">
        <f t="shared" si="340"/>
        <v>0</v>
      </c>
      <c r="S34" s="52">
        <v>0</v>
      </c>
      <c r="T34" s="19">
        <v>0</v>
      </c>
      <c r="U34" s="50">
        <f t="shared" si="341"/>
        <v>0</v>
      </c>
      <c r="V34" s="49">
        <f t="shared" si="391"/>
        <v>0</v>
      </c>
      <c r="W34" s="49">
        <f t="shared" si="392"/>
        <v>0</v>
      </c>
      <c r="X34" s="49">
        <f t="shared" si="342"/>
        <v>0</v>
      </c>
      <c r="Y34" s="48">
        <f t="shared" si="343"/>
        <v>0</v>
      </c>
      <c r="Z34" s="48">
        <f t="shared" si="344"/>
        <v>0</v>
      </c>
      <c r="AA34" s="52">
        <v>0</v>
      </c>
      <c r="AB34" s="19">
        <v>0</v>
      </c>
      <c r="AC34" s="50">
        <f t="shared" si="345"/>
        <v>0</v>
      </c>
      <c r="AD34" s="49">
        <f t="shared" si="393"/>
        <v>0</v>
      </c>
      <c r="AE34" s="49">
        <f t="shared" si="394"/>
        <v>0</v>
      </c>
      <c r="AF34" s="49">
        <f t="shared" si="346"/>
        <v>0</v>
      </c>
      <c r="AG34" s="48">
        <f t="shared" si="347"/>
        <v>0</v>
      </c>
      <c r="AH34" s="48">
        <f t="shared" si="348"/>
        <v>0</v>
      </c>
      <c r="AI34" s="52">
        <v>0</v>
      </c>
      <c r="AJ34" s="19">
        <v>0</v>
      </c>
      <c r="AK34" s="50">
        <f t="shared" si="349"/>
        <v>0</v>
      </c>
      <c r="AL34" s="49">
        <f t="shared" si="395"/>
        <v>0</v>
      </c>
      <c r="AM34" s="49">
        <f t="shared" si="396"/>
        <v>0</v>
      </c>
      <c r="AN34" s="49">
        <f t="shared" si="350"/>
        <v>0</v>
      </c>
      <c r="AO34" s="48">
        <f t="shared" si="351"/>
        <v>0</v>
      </c>
      <c r="AP34" s="48">
        <f t="shared" si="352"/>
        <v>0</v>
      </c>
      <c r="AQ34" s="52">
        <v>0</v>
      </c>
      <c r="AR34" s="19">
        <v>0</v>
      </c>
      <c r="AS34" s="50">
        <f t="shared" si="353"/>
        <v>0</v>
      </c>
      <c r="AT34" s="49">
        <f t="shared" si="397"/>
        <v>0</v>
      </c>
      <c r="AU34" s="49">
        <f t="shared" si="398"/>
        <v>0</v>
      </c>
      <c r="AV34" s="49">
        <f t="shared" si="354"/>
        <v>0</v>
      </c>
      <c r="AW34" s="48">
        <f t="shared" si="355"/>
        <v>0</v>
      </c>
      <c r="AX34" s="48">
        <f t="shared" si="356"/>
        <v>0</v>
      </c>
      <c r="AY34" s="52">
        <v>0</v>
      </c>
      <c r="AZ34" s="19">
        <v>0</v>
      </c>
      <c r="BA34" s="50">
        <f t="shared" si="357"/>
        <v>0</v>
      </c>
      <c r="BB34" s="49">
        <f t="shared" si="399"/>
        <v>0</v>
      </c>
      <c r="BC34" s="49">
        <f t="shared" si="400"/>
        <v>0</v>
      </c>
      <c r="BD34" s="49">
        <f t="shared" si="358"/>
        <v>0</v>
      </c>
      <c r="BE34" s="48">
        <f t="shared" si="359"/>
        <v>0</v>
      </c>
      <c r="BF34" s="48">
        <f t="shared" si="360"/>
        <v>0</v>
      </c>
      <c r="BG34" s="52">
        <v>0</v>
      </c>
      <c r="BH34" s="19">
        <v>0</v>
      </c>
      <c r="BI34" s="50">
        <f t="shared" si="361"/>
        <v>0</v>
      </c>
      <c r="BJ34" s="49">
        <f t="shared" si="401"/>
        <v>0</v>
      </c>
      <c r="BK34" s="49">
        <f t="shared" si="416"/>
        <v>0</v>
      </c>
      <c r="BL34" s="49">
        <f t="shared" si="417"/>
        <v>0</v>
      </c>
      <c r="BM34" s="48">
        <f t="shared" si="362"/>
        <v>0</v>
      </c>
      <c r="BN34" s="48">
        <f t="shared" si="363"/>
        <v>0</v>
      </c>
      <c r="BO34" s="52">
        <v>0</v>
      </c>
      <c r="BP34" s="19">
        <v>0</v>
      </c>
      <c r="BQ34" s="50">
        <f t="shared" si="364"/>
        <v>0</v>
      </c>
      <c r="BR34" s="49">
        <f t="shared" si="402"/>
        <v>0</v>
      </c>
      <c r="BS34" s="49">
        <f t="shared" si="403"/>
        <v>0</v>
      </c>
      <c r="BT34" s="49">
        <f t="shared" si="365"/>
        <v>0</v>
      </c>
      <c r="BU34" s="48">
        <f t="shared" si="366"/>
        <v>0</v>
      </c>
      <c r="BV34" s="48">
        <f t="shared" si="367"/>
        <v>0</v>
      </c>
      <c r="BW34" s="52">
        <v>0</v>
      </c>
      <c r="BX34" s="19">
        <v>0</v>
      </c>
      <c r="BY34" s="50">
        <f t="shared" si="368"/>
        <v>0</v>
      </c>
      <c r="BZ34" s="49">
        <f t="shared" si="404"/>
        <v>0</v>
      </c>
      <c r="CA34" s="49">
        <f t="shared" si="405"/>
        <v>0</v>
      </c>
      <c r="CB34" s="49">
        <f t="shared" si="369"/>
        <v>0</v>
      </c>
      <c r="CC34" s="48">
        <f t="shared" si="370"/>
        <v>0</v>
      </c>
      <c r="CD34" s="48">
        <f t="shared" si="371"/>
        <v>0</v>
      </c>
      <c r="CE34" s="52">
        <v>0</v>
      </c>
      <c r="CF34" s="19">
        <v>0</v>
      </c>
      <c r="CG34" s="50">
        <f t="shared" si="372"/>
        <v>0</v>
      </c>
      <c r="CH34" s="49">
        <f t="shared" si="406"/>
        <v>0</v>
      </c>
      <c r="CI34" s="49">
        <f t="shared" si="407"/>
        <v>0</v>
      </c>
      <c r="CJ34" s="49">
        <f t="shared" si="373"/>
        <v>0</v>
      </c>
      <c r="CK34" s="48">
        <f t="shared" si="374"/>
        <v>0</v>
      </c>
      <c r="CL34" s="48">
        <f t="shared" si="375"/>
        <v>0</v>
      </c>
      <c r="CM34" s="52">
        <v>0</v>
      </c>
      <c r="CN34" s="19">
        <v>0</v>
      </c>
      <c r="CO34" s="50">
        <f t="shared" si="376"/>
        <v>0</v>
      </c>
      <c r="CP34" s="49">
        <f t="shared" si="408"/>
        <v>0</v>
      </c>
      <c r="CQ34" s="49">
        <f t="shared" si="409"/>
        <v>0</v>
      </c>
      <c r="CR34" s="49">
        <f t="shared" si="377"/>
        <v>0</v>
      </c>
      <c r="CS34" s="48">
        <f t="shared" si="378"/>
        <v>0</v>
      </c>
      <c r="CT34" s="48">
        <f t="shared" si="379"/>
        <v>0</v>
      </c>
      <c r="CU34" s="52">
        <v>0</v>
      </c>
      <c r="CV34" s="19">
        <v>0</v>
      </c>
      <c r="CW34" s="50">
        <f t="shared" si="380"/>
        <v>0</v>
      </c>
      <c r="CX34" s="49">
        <f t="shared" si="410"/>
        <v>0</v>
      </c>
      <c r="CY34" s="49">
        <f t="shared" si="411"/>
        <v>0</v>
      </c>
      <c r="CZ34" s="49">
        <f t="shared" si="381"/>
        <v>0</v>
      </c>
      <c r="DA34" s="48">
        <f t="shared" si="382"/>
        <v>0</v>
      </c>
      <c r="DB34" s="48">
        <f t="shared" si="383"/>
        <v>0</v>
      </c>
      <c r="DC34" s="52">
        <v>0</v>
      </c>
      <c r="DD34" s="19">
        <v>0</v>
      </c>
      <c r="DE34" s="50">
        <v>0</v>
      </c>
      <c r="DF34" s="49">
        <f t="shared" si="412"/>
        <v>0</v>
      </c>
      <c r="DG34" s="49">
        <f t="shared" si="413"/>
        <v>0</v>
      </c>
      <c r="DH34" s="49">
        <f t="shared" si="384"/>
        <v>0</v>
      </c>
      <c r="DI34" s="48">
        <f t="shared" si="385"/>
        <v>0</v>
      </c>
      <c r="DJ34" s="48">
        <f t="shared" si="386"/>
        <v>0</v>
      </c>
      <c r="DK34" s="52">
        <v>0</v>
      </c>
      <c r="DL34" s="19">
        <v>0</v>
      </c>
      <c r="DM34" s="50">
        <f t="shared" si="387"/>
        <v>0</v>
      </c>
      <c r="DN34" s="49">
        <f t="shared" si="414"/>
        <v>0</v>
      </c>
      <c r="DO34" s="49">
        <f t="shared" si="415"/>
        <v>0</v>
      </c>
      <c r="DP34" s="49">
        <f t="shared" si="388"/>
        <v>0</v>
      </c>
      <c r="DQ34" s="48">
        <f t="shared" si="389"/>
        <v>0</v>
      </c>
      <c r="DR34" s="48">
        <f t="shared" si="390"/>
        <v>0</v>
      </c>
    </row>
    <row r="35" spans="1:122" ht="18" customHeight="1" x14ac:dyDescent="0.3">
      <c r="A35" s="108"/>
      <c r="B35" s="102"/>
      <c r="C35" s="131" t="s">
        <v>65</v>
      </c>
      <c r="D35" s="132" t="s">
        <v>81</v>
      </c>
      <c r="E35" s="130">
        <v>2</v>
      </c>
      <c r="F35" s="18" t="s">
        <v>41</v>
      </c>
      <c r="G35" s="70">
        <v>1</v>
      </c>
      <c r="H35" s="71">
        <v>1</v>
      </c>
      <c r="I35" s="71">
        <f t="shared" si="0"/>
        <v>0</v>
      </c>
      <c r="J35" s="59">
        <f t="shared" si="334"/>
        <v>0</v>
      </c>
      <c r="K35" s="52">
        <v>0</v>
      </c>
      <c r="L35" s="19">
        <v>0</v>
      </c>
      <c r="M35" s="50">
        <f t="shared" si="335"/>
        <v>0</v>
      </c>
      <c r="N35" s="49">
        <f t="shared" si="336"/>
        <v>0</v>
      </c>
      <c r="O35" s="49">
        <f t="shared" si="337"/>
        <v>0</v>
      </c>
      <c r="P35" s="49">
        <f t="shared" si="338"/>
        <v>0</v>
      </c>
      <c r="Q35" s="48">
        <f t="shared" si="339"/>
        <v>0</v>
      </c>
      <c r="R35" s="48">
        <f t="shared" si="340"/>
        <v>0</v>
      </c>
      <c r="S35" s="52">
        <v>0</v>
      </c>
      <c r="T35" s="19">
        <v>0</v>
      </c>
      <c r="U35" s="50">
        <f t="shared" si="341"/>
        <v>0</v>
      </c>
      <c r="V35" s="49">
        <f t="shared" si="391"/>
        <v>0</v>
      </c>
      <c r="W35" s="49">
        <f t="shared" si="392"/>
        <v>0</v>
      </c>
      <c r="X35" s="49">
        <f t="shared" si="342"/>
        <v>0</v>
      </c>
      <c r="Y35" s="48">
        <f t="shared" si="343"/>
        <v>0</v>
      </c>
      <c r="Z35" s="48">
        <f t="shared" si="344"/>
        <v>0</v>
      </c>
      <c r="AA35" s="52">
        <v>0</v>
      </c>
      <c r="AB35" s="19">
        <v>0</v>
      </c>
      <c r="AC35" s="50">
        <f t="shared" si="345"/>
        <v>0</v>
      </c>
      <c r="AD35" s="49">
        <f t="shared" si="393"/>
        <v>0</v>
      </c>
      <c r="AE35" s="49">
        <f t="shared" si="394"/>
        <v>0</v>
      </c>
      <c r="AF35" s="49">
        <f t="shared" si="346"/>
        <v>0</v>
      </c>
      <c r="AG35" s="48">
        <f t="shared" si="347"/>
        <v>0</v>
      </c>
      <c r="AH35" s="48">
        <f t="shared" si="348"/>
        <v>0</v>
      </c>
      <c r="AI35" s="52">
        <v>0</v>
      </c>
      <c r="AJ35" s="19">
        <v>0</v>
      </c>
      <c r="AK35" s="50">
        <f t="shared" si="349"/>
        <v>0</v>
      </c>
      <c r="AL35" s="49">
        <f t="shared" si="395"/>
        <v>0</v>
      </c>
      <c r="AM35" s="49">
        <f t="shared" si="396"/>
        <v>0</v>
      </c>
      <c r="AN35" s="49">
        <f t="shared" si="350"/>
        <v>0</v>
      </c>
      <c r="AO35" s="48">
        <f t="shared" si="351"/>
        <v>0</v>
      </c>
      <c r="AP35" s="48">
        <f t="shared" si="352"/>
        <v>0</v>
      </c>
      <c r="AQ35" s="52">
        <v>0</v>
      </c>
      <c r="AR35" s="19">
        <v>0</v>
      </c>
      <c r="AS35" s="50">
        <f t="shared" si="353"/>
        <v>0</v>
      </c>
      <c r="AT35" s="49">
        <f t="shared" si="397"/>
        <v>0</v>
      </c>
      <c r="AU35" s="49">
        <f t="shared" si="398"/>
        <v>0</v>
      </c>
      <c r="AV35" s="49">
        <f t="shared" si="354"/>
        <v>0</v>
      </c>
      <c r="AW35" s="48">
        <f t="shared" si="355"/>
        <v>0</v>
      </c>
      <c r="AX35" s="48">
        <f t="shared" si="356"/>
        <v>0</v>
      </c>
      <c r="AY35" s="52">
        <v>0</v>
      </c>
      <c r="AZ35" s="19">
        <v>0</v>
      </c>
      <c r="BA35" s="50">
        <f t="shared" si="357"/>
        <v>0</v>
      </c>
      <c r="BB35" s="49">
        <f t="shared" si="399"/>
        <v>0</v>
      </c>
      <c r="BC35" s="49">
        <f t="shared" si="400"/>
        <v>0</v>
      </c>
      <c r="BD35" s="49">
        <f t="shared" si="358"/>
        <v>0</v>
      </c>
      <c r="BE35" s="48">
        <f t="shared" si="359"/>
        <v>0</v>
      </c>
      <c r="BF35" s="48">
        <f t="shared" si="360"/>
        <v>0</v>
      </c>
      <c r="BG35" s="52">
        <v>0</v>
      </c>
      <c r="BH35" s="19">
        <v>0</v>
      </c>
      <c r="BI35" s="50">
        <f t="shared" si="361"/>
        <v>0</v>
      </c>
      <c r="BJ35" s="49">
        <f t="shared" si="401"/>
        <v>0</v>
      </c>
      <c r="BK35" s="49">
        <f t="shared" si="416"/>
        <v>0</v>
      </c>
      <c r="BL35" s="49">
        <f t="shared" si="417"/>
        <v>0</v>
      </c>
      <c r="BM35" s="48">
        <f t="shared" si="362"/>
        <v>0</v>
      </c>
      <c r="BN35" s="48">
        <f t="shared" si="363"/>
        <v>0</v>
      </c>
      <c r="BO35" s="52">
        <v>0</v>
      </c>
      <c r="BP35" s="19">
        <v>0</v>
      </c>
      <c r="BQ35" s="50">
        <f t="shared" si="364"/>
        <v>0</v>
      </c>
      <c r="BR35" s="49">
        <f t="shared" si="402"/>
        <v>0</v>
      </c>
      <c r="BS35" s="49">
        <f t="shared" si="403"/>
        <v>0</v>
      </c>
      <c r="BT35" s="49">
        <f t="shared" si="365"/>
        <v>0</v>
      </c>
      <c r="BU35" s="48">
        <f t="shared" si="366"/>
        <v>0</v>
      </c>
      <c r="BV35" s="48">
        <f t="shared" si="367"/>
        <v>0</v>
      </c>
      <c r="BW35" s="52">
        <v>0</v>
      </c>
      <c r="BX35" s="19">
        <v>0</v>
      </c>
      <c r="BY35" s="50">
        <f t="shared" si="368"/>
        <v>0</v>
      </c>
      <c r="BZ35" s="49">
        <f t="shared" si="404"/>
        <v>0</v>
      </c>
      <c r="CA35" s="49">
        <f t="shared" si="405"/>
        <v>0</v>
      </c>
      <c r="CB35" s="49">
        <f t="shared" si="369"/>
        <v>0</v>
      </c>
      <c r="CC35" s="48">
        <f t="shared" si="370"/>
        <v>0</v>
      </c>
      <c r="CD35" s="48">
        <f t="shared" si="371"/>
        <v>0</v>
      </c>
      <c r="CE35" s="52">
        <v>0</v>
      </c>
      <c r="CF35" s="19">
        <v>0</v>
      </c>
      <c r="CG35" s="50">
        <f t="shared" si="372"/>
        <v>0</v>
      </c>
      <c r="CH35" s="49">
        <f t="shared" si="406"/>
        <v>0</v>
      </c>
      <c r="CI35" s="49">
        <f t="shared" si="407"/>
        <v>0</v>
      </c>
      <c r="CJ35" s="49">
        <f t="shared" si="373"/>
        <v>0</v>
      </c>
      <c r="CK35" s="48">
        <f t="shared" si="374"/>
        <v>0</v>
      </c>
      <c r="CL35" s="48">
        <f t="shared" si="375"/>
        <v>0</v>
      </c>
      <c r="CM35" s="52">
        <v>0</v>
      </c>
      <c r="CN35" s="19">
        <v>0</v>
      </c>
      <c r="CO35" s="50">
        <f t="shared" si="376"/>
        <v>0</v>
      </c>
      <c r="CP35" s="49">
        <f t="shared" si="408"/>
        <v>0</v>
      </c>
      <c r="CQ35" s="49">
        <f t="shared" si="409"/>
        <v>0</v>
      </c>
      <c r="CR35" s="49">
        <f t="shared" si="377"/>
        <v>0</v>
      </c>
      <c r="CS35" s="48">
        <f t="shared" si="378"/>
        <v>0</v>
      </c>
      <c r="CT35" s="48">
        <f t="shared" si="379"/>
        <v>0</v>
      </c>
      <c r="CU35" s="52">
        <v>0</v>
      </c>
      <c r="CV35" s="19">
        <v>0</v>
      </c>
      <c r="CW35" s="50">
        <f t="shared" si="380"/>
        <v>0</v>
      </c>
      <c r="CX35" s="49">
        <f t="shared" si="410"/>
        <v>0</v>
      </c>
      <c r="CY35" s="49">
        <f t="shared" si="411"/>
        <v>0</v>
      </c>
      <c r="CZ35" s="49">
        <f t="shared" si="381"/>
        <v>0</v>
      </c>
      <c r="DA35" s="48">
        <f t="shared" si="382"/>
        <v>0</v>
      </c>
      <c r="DB35" s="48">
        <f t="shared" si="383"/>
        <v>0</v>
      </c>
      <c r="DC35" s="52">
        <v>0</v>
      </c>
      <c r="DD35" s="19">
        <v>0</v>
      </c>
      <c r="DE35" s="50">
        <v>0</v>
      </c>
      <c r="DF35" s="49">
        <f t="shared" si="412"/>
        <v>0</v>
      </c>
      <c r="DG35" s="49">
        <f t="shared" si="413"/>
        <v>0</v>
      </c>
      <c r="DH35" s="49">
        <f t="shared" si="384"/>
        <v>0</v>
      </c>
      <c r="DI35" s="48">
        <f t="shared" si="385"/>
        <v>0</v>
      </c>
      <c r="DJ35" s="48">
        <f t="shared" si="386"/>
        <v>0</v>
      </c>
      <c r="DK35" s="52">
        <v>0</v>
      </c>
      <c r="DL35" s="19">
        <v>0</v>
      </c>
      <c r="DM35" s="50">
        <f t="shared" si="387"/>
        <v>0</v>
      </c>
      <c r="DN35" s="49">
        <f t="shared" si="414"/>
        <v>0</v>
      </c>
      <c r="DO35" s="49">
        <f t="shared" si="415"/>
        <v>0</v>
      </c>
      <c r="DP35" s="49">
        <f t="shared" si="388"/>
        <v>0</v>
      </c>
      <c r="DQ35" s="48">
        <f t="shared" si="389"/>
        <v>0</v>
      </c>
      <c r="DR35" s="48">
        <f t="shared" si="390"/>
        <v>0</v>
      </c>
    </row>
    <row r="36" spans="1:122" ht="18" customHeight="1" x14ac:dyDescent="0.3">
      <c r="A36" s="108"/>
      <c r="B36" s="102"/>
      <c r="C36" s="131"/>
      <c r="D36" s="132"/>
      <c r="E36" s="130"/>
      <c r="F36" s="18" t="s">
        <v>16</v>
      </c>
      <c r="G36" s="70">
        <v>1</v>
      </c>
      <c r="H36" s="71">
        <v>1</v>
      </c>
      <c r="I36" s="71">
        <f t="shared" si="0"/>
        <v>0</v>
      </c>
      <c r="J36" s="59">
        <f t="shared" si="334"/>
        <v>0</v>
      </c>
      <c r="K36" s="52">
        <v>0</v>
      </c>
      <c r="L36" s="19">
        <v>0</v>
      </c>
      <c r="M36" s="50">
        <f t="shared" si="335"/>
        <v>0</v>
      </c>
      <c r="N36" s="49">
        <f t="shared" si="336"/>
        <v>0</v>
      </c>
      <c r="O36" s="49">
        <f t="shared" si="337"/>
        <v>0</v>
      </c>
      <c r="P36" s="49">
        <f t="shared" si="338"/>
        <v>0</v>
      </c>
      <c r="Q36" s="48">
        <f t="shared" si="339"/>
        <v>0</v>
      </c>
      <c r="R36" s="48">
        <f t="shared" si="340"/>
        <v>0</v>
      </c>
      <c r="S36" s="52">
        <v>0</v>
      </c>
      <c r="T36" s="19">
        <v>0</v>
      </c>
      <c r="U36" s="50">
        <f t="shared" si="341"/>
        <v>0</v>
      </c>
      <c r="V36" s="49">
        <f t="shared" si="391"/>
        <v>0</v>
      </c>
      <c r="W36" s="49">
        <f t="shared" si="392"/>
        <v>0</v>
      </c>
      <c r="X36" s="49">
        <f t="shared" si="342"/>
        <v>0</v>
      </c>
      <c r="Y36" s="48">
        <f t="shared" si="343"/>
        <v>0</v>
      </c>
      <c r="Z36" s="48">
        <f t="shared" si="344"/>
        <v>0</v>
      </c>
      <c r="AA36" s="52">
        <v>0</v>
      </c>
      <c r="AB36" s="19">
        <v>0</v>
      </c>
      <c r="AC36" s="50">
        <f t="shared" si="345"/>
        <v>0</v>
      </c>
      <c r="AD36" s="49">
        <f t="shared" si="393"/>
        <v>0</v>
      </c>
      <c r="AE36" s="49">
        <f t="shared" si="394"/>
        <v>0</v>
      </c>
      <c r="AF36" s="49">
        <f t="shared" si="346"/>
        <v>0</v>
      </c>
      <c r="AG36" s="48">
        <f t="shared" si="347"/>
        <v>0</v>
      </c>
      <c r="AH36" s="48">
        <f t="shared" si="348"/>
        <v>0</v>
      </c>
      <c r="AI36" s="52">
        <v>0</v>
      </c>
      <c r="AJ36" s="19">
        <v>0</v>
      </c>
      <c r="AK36" s="50">
        <f t="shared" si="349"/>
        <v>0</v>
      </c>
      <c r="AL36" s="49">
        <f t="shared" si="395"/>
        <v>0</v>
      </c>
      <c r="AM36" s="49">
        <f t="shared" si="396"/>
        <v>0</v>
      </c>
      <c r="AN36" s="49">
        <f t="shared" si="350"/>
        <v>0</v>
      </c>
      <c r="AO36" s="48">
        <f t="shared" si="351"/>
        <v>0</v>
      </c>
      <c r="AP36" s="48">
        <f t="shared" si="352"/>
        <v>0</v>
      </c>
      <c r="AQ36" s="52">
        <v>0</v>
      </c>
      <c r="AR36" s="19">
        <v>0</v>
      </c>
      <c r="AS36" s="50">
        <f t="shared" si="353"/>
        <v>0</v>
      </c>
      <c r="AT36" s="49">
        <f t="shared" si="397"/>
        <v>0</v>
      </c>
      <c r="AU36" s="49">
        <f t="shared" si="398"/>
        <v>0</v>
      </c>
      <c r="AV36" s="49">
        <f t="shared" si="354"/>
        <v>0</v>
      </c>
      <c r="AW36" s="48">
        <f t="shared" si="355"/>
        <v>0</v>
      </c>
      <c r="AX36" s="48">
        <f t="shared" si="356"/>
        <v>0</v>
      </c>
      <c r="AY36" s="52">
        <v>0</v>
      </c>
      <c r="AZ36" s="19">
        <v>0</v>
      </c>
      <c r="BA36" s="50">
        <f t="shared" si="357"/>
        <v>0</v>
      </c>
      <c r="BB36" s="49">
        <f t="shared" si="399"/>
        <v>0</v>
      </c>
      <c r="BC36" s="49">
        <f t="shared" si="400"/>
        <v>0</v>
      </c>
      <c r="BD36" s="49">
        <f t="shared" si="358"/>
        <v>0</v>
      </c>
      <c r="BE36" s="48">
        <f t="shared" si="359"/>
        <v>0</v>
      </c>
      <c r="BF36" s="48">
        <f t="shared" si="360"/>
        <v>0</v>
      </c>
      <c r="BG36" s="52">
        <v>0</v>
      </c>
      <c r="BH36" s="19">
        <v>0</v>
      </c>
      <c r="BI36" s="50">
        <f t="shared" si="361"/>
        <v>0</v>
      </c>
      <c r="BJ36" s="49">
        <f t="shared" si="401"/>
        <v>0</v>
      </c>
      <c r="BK36" s="49">
        <f t="shared" si="416"/>
        <v>0</v>
      </c>
      <c r="BL36" s="49">
        <f t="shared" si="417"/>
        <v>0</v>
      </c>
      <c r="BM36" s="48">
        <f t="shared" si="362"/>
        <v>0</v>
      </c>
      <c r="BN36" s="48">
        <f t="shared" si="363"/>
        <v>0</v>
      </c>
      <c r="BO36" s="52">
        <v>0</v>
      </c>
      <c r="BP36" s="19">
        <v>0</v>
      </c>
      <c r="BQ36" s="50">
        <f t="shared" si="364"/>
        <v>0</v>
      </c>
      <c r="BR36" s="49">
        <f t="shared" si="402"/>
        <v>0</v>
      </c>
      <c r="BS36" s="49">
        <f t="shared" si="403"/>
        <v>0</v>
      </c>
      <c r="BT36" s="49">
        <f t="shared" si="365"/>
        <v>0</v>
      </c>
      <c r="BU36" s="48">
        <f t="shared" si="366"/>
        <v>0</v>
      </c>
      <c r="BV36" s="48">
        <f t="shared" si="367"/>
        <v>0</v>
      </c>
      <c r="BW36" s="52">
        <v>0</v>
      </c>
      <c r="BX36" s="19">
        <v>0</v>
      </c>
      <c r="BY36" s="50">
        <f t="shared" si="368"/>
        <v>0</v>
      </c>
      <c r="BZ36" s="49">
        <f t="shared" si="404"/>
        <v>0</v>
      </c>
      <c r="CA36" s="49">
        <f t="shared" si="405"/>
        <v>0</v>
      </c>
      <c r="CB36" s="49">
        <f t="shared" si="369"/>
        <v>0</v>
      </c>
      <c r="CC36" s="48">
        <f t="shared" si="370"/>
        <v>0</v>
      </c>
      <c r="CD36" s="48">
        <f t="shared" si="371"/>
        <v>0</v>
      </c>
      <c r="CE36" s="52">
        <v>0</v>
      </c>
      <c r="CF36" s="19">
        <v>0</v>
      </c>
      <c r="CG36" s="50">
        <f t="shared" si="372"/>
        <v>0</v>
      </c>
      <c r="CH36" s="49">
        <f t="shared" si="406"/>
        <v>0</v>
      </c>
      <c r="CI36" s="49">
        <f t="shared" si="407"/>
        <v>0</v>
      </c>
      <c r="CJ36" s="49">
        <f t="shared" si="373"/>
        <v>0</v>
      </c>
      <c r="CK36" s="48">
        <f t="shared" si="374"/>
        <v>0</v>
      </c>
      <c r="CL36" s="48">
        <f t="shared" si="375"/>
        <v>0</v>
      </c>
      <c r="CM36" s="52">
        <v>0</v>
      </c>
      <c r="CN36" s="19">
        <v>0</v>
      </c>
      <c r="CO36" s="50">
        <f t="shared" si="376"/>
        <v>0</v>
      </c>
      <c r="CP36" s="49">
        <f t="shared" si="408"/>
        <v>0</v>
      </c>
      <c r="CQ36" s="49">
        <f t="shared" si="409"/>
        <v>0</v>
      </c>
      <c r="CR36" s="49">
        <f t="shared" si="377"/>
        <v>0</v>
      </c>
      <c r="CS36" s="48">
        <f t="shared" si="378"/>
        <v>0</v>
      </c>
      <c r="CT36" s="48">
        <f t="shared" si="379"/>
        <v>0</v>
      </c>
      <c r="CU36" s="52">
        <v>0</v>
      </c>
      <c r="CV36" s="19">
        <v>0</v>
      </c>
      <c r="CW36" s="50">
        <f t="shared" si="380"/>
        <v>0</v>
      </c>
      <c r="CX36" s="49">
        <f t="shared" si="410"/>
        <v>0</v>
      </c>
      <c r="CY36" s="49">
        <f t="shared" si="411"/>
        <v>0</v>
      </c>
      <c r="CZ36" s="49">
        <f t="shared" si="381"/>
        <v>0</v>
      </c>
      <c r="DA36" s="48">
        <f t="shared" si="382"/>
        <v>0</v>
      </c>
      <c r="DB36" s="48">
        <f t="shared" si="383"/>
        <v>0</v>
      </c>
      <c r="DC36" s="52">
        <v>0</v>
      </c>
      <c r="DD36" s="19">
        <v>0</v>
      </c>
      <c r="DE36" s="50">
        <v>0</v>
      </c>
      <c r="DF36" s="49">
        <f t="shared" si="412"/>
        <v>0</v>
      </c>
      <c r="DG36" s="49">
        <f t="shared" si="413"/>
        <v>0</v>
      </c>
      <c r="DH36" s="49">
        <f t="shared" si="384"/>
        <v>0</v>
      </c>
      <c r="DI36" s="48">
        <f t="shared" si="385"/>
        <v>0</v>
      </c>
      <c r="DJ36" s="48">
        <f t="shared" si="386"/>
        <v>0</v>
      </c>
      <c r="DK36" s="52">
        <v>0</v>
      </c>
      <c r="DL36" s="19">
        <v>0</v>
      </c>
      <c r="DM36" s="50">
        <f t="shared" si="387"/>
        <v>0</v>
      </c>
      <c r="DN36" s="49">
        <f t="shared" si="414"/>
        <v>0</v>
      </c>
      <c r="DO36" s="49">
        <f t="shared" si="415"/>
        <v>0</v>
      </c>
      <c r="DP36" s="49">
        <f t="shared" si="388"/>
        <v>0</v>
      </c>
      <c r="DQ36" s="48">
        <f t="shared" si="389"/>
        <v>0</v>
      </c>
      <c r="DR36" s="48">
        <f t="shared" si="390"/>
        <v>0</v>
      </c>
    </row>
    <row r="37" spans="1:122" ht="18" customHeight="1" x14ac:dyDescent="0.3">
      <c r="A37" s="109"/>
      <c r="B37" s="103"/>
      <c r="C37" s="131"/>
      <c r="D37" s="132"/>
      <c r="E37" s="130"/>
      <c r="F37" s="18" t="s">
        <v>15</v>
      </c>
      <c r="G37" s="70">
        <v>1</v>
      </c>
      <c r="H37" s="71">
        <v>1</v>
      </c>
      <c r="I37" s="71">
        <f t="shared" si="0"/>
        <v>0</v>
      </c>
      <c r="J37" s="59">
        <f t="shared" si="334"/>
        <v>0</v>
      </c>
      <c r="K37" s="52">
        <v>0</v>
      </c>
      <c r="L37" s="19">
        <v>0</v>
      </c>
      <c r="M37" s="50">
        <f t="shared" si="335"/>
        <v>0</v>
      </c>
      <c r="N37" s="49">
        <f t="shared" si="336"/>
        <v>0</v>
      </c>
      <c r="O37" s="49">
        <f t="shared" si="337"/>
        <v>0</v>
      </c>
      <c r="P37" s="49">
        <f t="shared" si="338"/>
        <v>0</v>
      </c>
      <c r="Q37" s="48">
        <f t="shared" si="339"/>
        <v>0</v>
      </c>
      <c r="R37" s="48">
        <f t="shared" si="340"/>
        <v>0</v>
      </c>
      <c r="S37" s="52">
        <v>0</v>
      </c>
      <c r="T37" s="19">
        <v>0</v>
      </c>
      <c r="U37" s="50">
        <f t="shared" si="341"/>
        <v>0</v>
      </c>
      <c r="V37" s="49">
        <f t="shared" si="391"/>
        <v>0</v>
      </c>
      <c r="W37" s="49">
        <f t="shared" si="392"/>
        <v>0</v>
      </c>
      <c r="X37" s="49">
        <f t="shared" si="342"/>
        <v>0</v>
      </c>
      <c r="Y37" s="48">
        <f t="shared" si="343"/>
        <v>0</v>
      </c>
      <c r="Z37" s="48">
        <f t="shared" si="344"/>
        <v>0</v>
      </c>
      <c r="AA37" s="52">
        <v>0</v>
      </c>
      <c r="AB37" s="19">
        <v>0</v>
      </c>
      <c r="AC37" s="50">
        <f t="shared" si="345"/>
        <v>0</v>
      </c>
      <c r="AD37" s="49">
        <f t="shared" si="393"/>
        <v>0</v>
      </c>
      <c r="AE37" s="49">
        <f t="shared" si="394"/>
        <v>0</v>
      </c>
      <c r="AF37" s="49">
        <f t="shared" si="346"/>
        <v>0</v>
      </c>
      <c r="AG37" s="48">
        <f t="shared" si="347"/>
        <v>0</v>
      </c>
      <c r="AH37" s="48">
        <f t="shared" si="348"/>
        <v>0</v>
      </c>
      <c r="AI37" s="52">
        <v>0</v>
      </c>
      <c r="AJ37" s="19">
        <v>0</v>
      </c>
      <c r="AK37" s="50">
        <f t="shared" si="349"/>
        <v>0</v>
      </c>
      <c r="AL37" s="49">
        <f t="shared" si="395"/>
        <v>0</v>
      </c>
      <c r="AM37" s="49">
        <f t="shared" si="396"/>
        <v>0</v>
      </c>
      <c r="AN37" s="49">
        <f t="shared" si="350"/>
        <v>0</v>
      </c>
      <c r="AO37" s="48">
        <f t="shared" si="351"/>
        <v>0</v>
      </c>
      <c r="AP37" s="48">
        <f t="shared" si="352"/>
        <v>0</v>
      </c>
      <c r="AQ37" s="52">
        <v>0</v>
      </c>
      <c r="AR37" s="19">
        <v>0</v>
      </c>
      <c r="AS37" s="50">
        <f t="shared" si="353"/>
        <v>0</v>
      </c>
      <c r="AT37" s="49">
        <f t="shared" si="397"/>
        <v>0</v>
      </c>
      <c r="AU37" s="49">
        <f t="shared" si="398"/>
        <v>0</v>
      </c>
      <c r="AV37" s="49">
        <f t="shared" si="354"/>
        <v>0</v>
      </c>
      <c r="AW37" s="48">
        <f t="shared" si="355"/>
        <v>0</v>
      </c>
      <c r="AX37" s="48">
        <f t="shared" si="356"/>
        <v>0</v>
      </c>
      <c r="AY37" s="52">
        <v>0</v>
      </c>
      <c r="AZ37" s="19">
        <v>0</v>
      </c>
      <c r="BA37" s="50">
        <f t="shared" si="357"/>
        <v>0</v>
      </c>
      <c r="BB37" s="49">
        <f t="shared" si="399"/>
        <v>0</v>
      </c>
      <c r="BC37" s="49">
        <f t="shared" si="400"/>
        <v>0</v>
      </c>
      <c r="BD37" s="49">
        <f t="shared" si="358"/>
        <v>0</v>
      </c>
      <c r="BE37" s="48">
        <f t="shared" si="359"/>
        <v>0</v>
      </c>
      <c r="BF37" s="48">
        <f t="shared" si="360"/>
        <v>0</v>
      </c>
      <c r="BG37" s="52">
        <v>0</v>
      </c>
      <c r="BH37" s="19">
        <v>0</v>
      </c>
      <c r="BI37" s="50">
        <f t="shared" si="361"/>
        <v>0</v>
      </c>
      <c r="BJ37" s="49">
        <f t="shared" si="401"/>
        <v>0</v>
      </c>
      <c r="BK37" s="49">
        <f t="shared" si="416"/>
        <v>0</v>
      </c>
      <c r="BL37" s="49">
        <f t="shared" si="417"/>
        <v>0</v>
      </c>
      <c r="BM37" s="48">
        <f t="shared" si="362"/>
        <v>0</v>
      </c>
      <c r="BN37" s="48">
        <f t="shared" si="363"/>
        <v>0</v>
      </c>
      <c r="BO37" s="52">
        <v>0</v>
      </c>
      <c r="BP37" s="19">
        <v>0</v>
      </c>
      <c r="BQ37" s="50">
        <f t="shared" si="364"/>
        <v>0</v>
      </c>
      <c r="BR37" s="49">
        <f t="shared" si="402"/>
        <v>0</v>
      </c>
      <c r="BS37" s="49">
        <f t="shared" si="403"/>
        <v>0</v>
      </c>
      <c r="BT37" s="49">
        <f t="shared" si="365"/>
        <v>0</v>
      </c>
      <c r="BU37" s="48">
        <f t="shared" si="366"/>
        <v>0</v>
      </c>
      <c r="BV37" s="48">
        <f t="shared" si="367"/>
        <v>0</v>
      </c>
      <c r="BW37" s="52">
        <v>0</v>
      </c>
      <c r="BX37" s="19">
        <v>0</v>
      </c>
      <c r="BY37" s="50">
        <f t="shared" si="368"/>
        <v>0</v>
      </c>
      <c r="BZ37" s="49">
        <f t="shared" si="404"/>
        <v>0</v>
      </c>
      <c r="CA37" s="49">
        <f t="shared" si="405"/>
        <v>0</v>
      </c>
      <c r="CB37" s="49">
        <f t="shared" si="369"/>
        <v>0</v>
      </c>
      <c r="CC37" s="48">
        <f t="shared" si="370"/>
        <v>0</v>
      </c>
      <c r="CD37" s="48">
        <f t="shared" si="371"/>
        <v>0</v>
      </c>
      <c r="CE37" s="52">
        <v>0</v>
      </c>
      <c r="CF37" s="19">
        <v>0</v>
      </c>
      <c r="CG37" s="50">
        <f t="shared" si="372"/>
        <v>0</v>
      </c>
      <c r="CH37" s="49">
        <f t="shared" si="406"/>
        <v>0</v>
      </c>
      <c r="CI37" s="49">
        <f t="shared" si="407"/>
        <v>0</v>
      </c>
      <c r="CJ37" s="49">
        <f t="shared" si="373"/>
        <v>0</v>
      </c>
      <c r="CK37" s="48">
        <f t="shared" si="374"/>
        <v>0</v>
      </c>
      <c r="CL37" s="48">
        <f t="shared" si="375"/>
        <v>0</v>
      </c>
      <c r="CM37" s="52">
        <v>0</v>
      </c>
      <c r="CN37" s="19">
        <v>0</v>
      </c>
      <c r="CO37" s="50">
        <f t="shared" si="376"/>
        <v>0</v>
      </c>
      <c r="CP37" s="49">
        <f t="shared" si="408"/>
        <v>0</v>
      </c>
      <c r="CQ37" s="49">
        <f t="shared" si="409"/>
        <v>0</v>
      </c>
      <c r="CR37" s="49">
        <f t="shared" si="377"/>
        <v>0</v>
      </c>
      <c r="CS37" s="48">
        <f t="shared" si="378"/>
        <v>0</v>
      </c>
      <c r="CT37" s="48">
        <f t="shared" si="379"/>
        <v>0</v>
      </c>
      <c r="CU37" s="52">
        <v>0</v>
      </c>
      <c r="CV37" s="19">
        <v>0</v>
      </c>
      <c r="CW37" s="50">
        <f t="shared" si="380"/>
        <v>0</v>
      </c>
      <c r="CX37" s="49">
        <f t="shared" si="410"/>
        <v>0</v>
      </c>
      <c r="CY37" s="49">
        <f t="shared" si="411"/>
        <v>0</v>
      </c>
      <c r="CZ37" s="49">
        <f t="shared" si="381"/>
        <v>0</v>
      </c>
      <c r="DA37" s="48">
        <f t="shared" si="382"/>
        <v>0</v>
      </c>
      <c r="DB37" s="48">
        <f t="shared" si="383"/>
        <v>0</v>
      </c>
      <c r="DC37" s="52">
        <v>0</v>
      </c>
      <c r="DD37" s="19">
        <v>0</v>
      </c>
      <c r="DE37" s="50">
        <v>0</v>
      </c>
      <c r="DF37" s="49">
        <f t="shared" si="412"/>
        <v>0</v>
      </c>
      <c r="DG37" s="49">
        <f t="shared" si="413"/>
        <v>0</v>
      </c>
      <c r="DH37" s="49">
        <f t="shared" si="384"/>
        <v>0</v>
      </c>
      <c r="DI37" s="48">
        <f t="shared" si="385"/>
        <v>0</v>
      </c>
      <c r="DJ37" s="48">
        <f t="shared" si="386"/>
        <v>0</v>
      </c>
      <c r="DK37" s="52">
        <v>0</v>
      </c>
      <c r="DL37" s="19">
        <v>0</v>
      </c>
      <c r="DM37" s="50">
        <f t="shared" si="387"/>
        <v>0</v>
      </c>
      <c r="DN37" s="49">
        <f t="shared" si="414"/>
        <v>0</v>
      </c>
      <c r="DO37" s="49">
        <f t="shared" si="415"/>
        <v>0</v>
      </c>
      <c r="DP37" s="49">
        <f t="shared" si="388"/>
        <v>0</v>
      </c>
      <c r="DQ37" s="48">
        <f t="shared" si="389"/>
        <v>0</v>
      </c>
      <c r="DR37" s="48">
        <f t="shared" si="390"/>
        <v>0</v>
      </c>
    </row>
    <row r="38" spans="1:122" ht="18" customHeight="1" thickBot="1" x14ac:dyDescent="0.35">
      <c r="A38" s="73"/>
      <c r="B38" s="120" t="s">
        <v>11</v>
      </c>
      <c r="C38" s="121"/>
      <c r="D38" s="121"/>
      <c r="E38" s="121"/>
      <c r="F38" s="121"/>
      <c r="G38" s="121"/>
      <c r="H38" s="121"/>
      <c r="I38" s="121"/>
      <c r="J38" s="122"/>
      <c r="K38" s="53"/>
      <c r="L38" s="54"/>
      <c r="M38" s="55"/>
      <c r="N38" s="56"/>
      <c r="O38" s="56"/>
      <c r="P38" s="56"/>
      <c r="Q38" s="56"/>
      <c r="R38" s="56"/>
      <c r="S38" s="53"/>
      <c r="T38" s="54"/>
      <c r="U38" s="55"/>
      <c r="V38" s="56"/>
      <c r="W38" s="56"/>
      <c r="X38" s="56"/>
      <c r="Y38" s="56"/>
      <c r="Z38" s="56"/>
      <c r="AA38" s="53"/>
      <c r="AB38" s="54"/>
      <c r="AC38" s="55"/>
      <c r="AD38" s="56"/>
      <c r="AE38" s="56"/>
      <c r="AF38" s="56"/>
      <c r="AG38" s="56"/>
      <c r="AH38" s="56"/>
      <c r="AI38" s="53"/>
      <c r="AJ38" s="54"/>
      <c r="AK38" s="55"/>
      <c r="AL38" s="56"/>
      <c r="AM38" s="56"/>
      <c r="AN38" s="56"/>
      <c r="AO38" s="56"/>
      <c r="AP38" s="56"/>
      <c r="AQ38" s="53"/>
      <c r="AR38" s="54"/>
      <c r="AS38" s="55"/>
      <c r="AT38" s="56"/>
      <c r="AU38" s="56"/>
      <c r="AV38" s="56"/>
      <c r="AW38" s="56"/>
      <c r="AX38" s="56"/>
      <c r="AY38" s="53"/>
      <c r="AZ38" s="54"/>
      <c r="BA38" s="55"/>
      <c r="BB38" s="56"/>
      <c r="BC38" s="56"/>
      <c r="BD38" s="56"/>
      <c r="BE38" s="56"/>
      <c r="BF38" s="56"/>
      <c r="BG38" s="53"/>
      <c r="BH38" s="54"/>
      <c r="BI38" s="55"/>
      <c r="BJ38" s="56"/>
      <c r="BK38" s="56"/>
      <c r="BL38" s="56"/>
      <c r="BM38" s="56"/>
      <c r="BN38" s="56"/>
      <c r="BO38" s="53"/>
      <c r="BP38" s="54"/>
      <c r="BQ38" s="55"/>
      <c r="BR38" s="56"/>
      <c r="BS38" s="56"/>
      <c r="BT38" s="56"/>
      <c r="BU38" s="56"/>
      <c r="BV38" s="56"/>
      <c r="BW38" s="53"/>
      <c r="BX38" s="54"/>
      <c r="BY38" s="55"/>
      <c r="BZ38" s="56"/>
      <c r="CA38" s="56"/>
      <c r="CB38" s="56"/>
      <c r="CC38" s="56"/>
      <c r="CD38" s="56"/>
      <c r="CE38" s="53"/>
      <c r="CF38" s="54"/>
      <c r="CG38" s="55"/>
      <c r="CH38" s="56"/>
      <c r="CI38" s="56"/>
      <c r="CJ38" s="56"/>
      <c r="CK38" s="56"/>
      <c r="CL38" s="56"/>
      <c r="CM38" s="53"/>
      <c r="CN38" s="54"/>
      <c r="CO38" s="55"/>
      <c r="CP38" s="56"/>
      <c r="CQ38" s="56"/>
      <c r="CR38" s="56"/>
      <c r="CS38" s="56"/>
      <c r="CT38" s="56"/>
      <c r="CU38" s="53"/>
      <c r="CV38" s="54"/>
      <c r="CW38" s="55"/>
      <c r="CX38" s="56"/>
      <c r="CY38" s="56"/>
      <c r="CZ38" s="56"/>
      <c r="DA38" s="56"/>
      <c r="DB38" s="56"/>
      <c r="DC38" s="53"/>
      <c r="DD38" s="54"/>
      <c r="DE38" s="55"/>
      <c r="DF38" s="56"/>
      <c r="DG38" s="56"/>
      <c r="DH38" s="56"/>
      <c r="DI38" s="56"/>
      <c r="DJ38" s="56"/>
      <c r="DK38" s="53"/>
      <c r="DL38" s="54"/>
      <c r="DM38" s="55"/>
      <c r="DN38" s="56"/>
      <c r="DO38" s="56"/>
      <c r="DP38" s="56"/>
      <c r="DQ38" s="56"/>
      <c r="DR38" s="56"/>
    </row>
    <row r="39" spans="1:122" ht="18" customHeight="1" x14ac:dyDescent="0.3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4"/>
      <c r="L39" s="25"/>
      <c r="M39" s="26"/>
      <c r="N39" s="24"/>
      <c r="O39" s="24"/>
      <c r="P39" s="24"/>
      <c r="Q39" s="24"/>
      <c r="R39" s="24"/>
      <c r="S39" s="24"/>
      <c r="T39" s="25"/>
      <c r="U39" s="26"/>
      <c r="V39" s="24"/>
      <c r="W39" s="24"/>
      <c r="X39" s="24"/>
      <c r="Y39" s="24"/>
      <c r="Z39" s="24"/>
      <c r="AA39" s="24"/>
      <c r="AB39" s="25"/>
      <c r="AC39" s="26"/>
      <c r="AD39" s="24"/>
      <c r="AE39" s="24"/>
      <c r="AF39" s="24"/>
      <c r="AG39" s="24"/>
      <c r="AH39" s="24"/>
      <c r="AI39" s="24"/>
      <c r="AJ39" s="25"/>
      <c r="AK39" s="26"/>
      <c r="AL39" s="24"/>
      <c r="AM39" s="24"/>
      <c r="AN39" s="24"/>
      <c r="AO39" s="24"/>
      <c r="AP39" s="24"/>
      <c r="AQ39" s="24"/>
      <c r="AR39" s="25"/>
      <c r="AS39" s="26"/>
      <c r="AT39" s="24"/>
      <c r="AU39" s="24"/>
      <c r="AV39" s="24"/>
      <c r="AW39" s="24"/>
      <c r="AX39" s="24"/>
      <c r="AY39" s="24"/>
      <c r="AZ39" s="25"/>
      <c r="BA39" s="26"/>
      <c r="BB39" s="24"/>
      <c r="BC39" s="24"/>
      <c r="BD39" s="24"/>
      <c r="BE39" s="24"/>
      <c r="BF39" s="24"/>
      <c r="BG39" s="24"/>
      <c r="BH39" s="25"/>
      <c r="BI39" s="26"/>
      <c r="BJ39" s="24"/>
      <c r="BK39" s="24"/>
      <c r="BL39" s="24"/>
      <c r="BM39" s="24"/>
      <c r="BN39" s="24"/>
      <c r="BO39" s="24"/>
      <c r="BP39" s="25"/>
      <c r="BQ39" s="26"/>
      <c r="BR39" s="24"/>
      <c r="BS39" s="24"/>
      <c r="BT39" s="24"/>
      <c r="BU39" s="24"/>
      <c r="BV39" s="24"/>
      <c r="BW39" s="24"/>
      <c r="BX39" s="25"/>
      <c r="BY39" s="26"/>
      <c r="BZ39" s="24"/>
      <c r="CA39" s="24"/>
      <c r="CB39" s="24"/>
      <c r="CC39" s="24"/>
      <c r="CD39" s="24"/>
      <c r="CE39" s="24"/>
      <c r="CF39" s="25"/>
      <c r="CG39" s="26"/>
      <c r="CH39" s="24"/>
      <c r="CI39" s="24"/>
      <c r="CJ39" s="24"/>
      <c r="CK39" s="24"/>
      <c r="CL39" s="24"/>
      <c r="CM39" s="24"/>
      <c r="CN39" s="25"/>
      <c r="CO39" s="26"/>
      <c r="CP39" s="24"/>
      <c r="CQ39" s="24"/>
      <c r="CR39" s="24"/>
      <c r="CS39" s="24"/>
      <c r="CT39" s="24"/>
      <c r="CU39" s="24"/>
      <c r="CV39" s="25"/>
      <c r="CW39" s="26"/>
      <c r="CX39" s="24"/>
      <c r="CY39" s="24"/>
      <c r="CZ39" s="24"/>
      <c r="DA39" s="24"/>
      <c r="DB39" s="24"/>
      <c r="DC39" s="24"/>
      <c r="DD39" s="25"/>
      <c r="DE39" s="26"/>
      <c r="DF39" s="24"/>
      <c r="DG39" s="24"/>
      <c r="DH39" s="24"/>
      <c r="DI39" s="24"/>
      <c r="DJ39" s="24"/>
      <c r="DK39" s="24"/>
      <c r="DL39" s="25"/>
      <c r="DM39" s="26"/>
      <c r="DN39" s="24"/>
      <c r="DO39" s="24"/>
      <c r="DP39" s="24"/>
      <c r="DQ39" s="24"/>
      <c r="DR39" s="24"/>
    </row>
    <row r="40" spans="1:122" x14ac:dyDescent="0.3">
      <c r="D40" s="28"/>
      <c r="E40" s="28"/>
      <c r="H40" s="29"/>
      <c r="I40" s="30"/>
      <c r="J40" s="31"/>
    </row>
    <row r="42" spans="1:122" x14ac:dyDescent="0.3">
      <c r="P42" s="17" t="s">
        <v>47</v>
      </c>
    </row>
  </sheetData>
  <mergeCells count="55">
    <mergeCell ref="AQ3:AX3"/>
    <mergeCell ref="E32:E34"/>
    <mergeCell ref="E35:E37"/>
    <mergeCell ref="C35:C37"/>
    <mergeCell ref="D26:D28"/>
    <mergeCell ref="D29:D31"/>
    <mergeCell ref="D20:D22"/>
    <mergeCell ref="D11:D13"/>
    <mergeCell ref="C3:C4"/>
    <mergeCell ref="C23:C25"/>
    <mergeCell ref="C26:C28"/>
    <mergeCell ref="C14:C16"/>
    <mergeCell ref="C17:C19"/>
    <mergeCell ref="C20:C22"/>
    <mergeCell ref="D5:D7"/>
    <mergeCell ref="D8:D10"/>
    <mergeCell ref="B38:J38"/>
    <mergeCell ref="A3:A4"/>
    <mergeCell ref="B3:B4"/>
    <mergeCell ref="D3:D4"/>
    <mergeCell ref="F3:F4"/>
    <mergeCell ref="G3:G4"/>
    <mergeCell ref="E3:E4"/>
    <mergeCell ref="H3:H4"/>
    <mergeCell ref="I3:I4"/>
    <mergeCell ref="J3:J4"/>
    <mergeCell ref="B5:B13"/>
    <mergeCell ref="B14:B22"/>
    <mergeCell ref="B23:B28"/>
    <mergeCell ref="D23:D25"/>
    <mergeCell ref="D32:D34"/>
    <mergeCell ref="C29:C31"/>
    <mergeCell ref="DC3:DJ3"/>
    <mergeCell ref="DK3:DR3"/>
    <mergeCell ref="C5:C7"/>
    <mergeCell ref="C8:C10"/>
    <mergeCell ref="C11:C13"/>
    <mergeCell ref="CM3:CT3"/>
    <mergeCell ref="CU3:DB3"/>
    <mergeCell ref="K3:R3"/>
    <mergeCell ref="S3:Z3"/>
    <mergeCell ref="AA3:AH3"/>
    <mergeCell ref="BO3:BV3"/>
    <mergeCell ref="BW3:CD3"/>
    <mergeCell ref="CE3:CL3"/>
    <mergeCell ref="BG3:BN3"/>
    <mergeCell ref="AY3:BF3"/>
    <mergeCell ref="AI3:AP3"/>
    <mergeCell ref="B32:B37"/>
    <mergeCell ref="B29:B31"/>
    <mergeCell ref="A5:A37"/>
    <mergeCell ref="D14:D16"/>
    <mergeCell ref="D17:D19"/>
    <mergeCell ref="C32:C34"/>
    <mergeCell ref="D35:D37"/>
  </mergeCells>
  <phoneticPr fontId="3" type="noConversion"/>
  <conditionalFormatting sqref="J5:J37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{7318232F-9D85-4175-BE51-F755F31602FE}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18232F-9D85-4175-BE51-F755F3160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J5:J37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사업관리 일정계획</vt:lpstr>
      <vt:lpstr>기능 개발 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MS</cp:lastModifiedBy>
  <dcterms:created xsi:type="dcterms:W3CDTF">2022-07-13T01:55:16Z</dcterms:created>
  <dcterms:modified xsi:type="dcterms:W3CDTF">2024-08-23T00:40:28Z</dcterms:modified>
</cp:coreProperties>
</file>